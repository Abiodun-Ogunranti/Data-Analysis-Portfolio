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8DD2E2BB-A635-40F8-8F84-F2D048476C0A}" xr6:coauthVersionLast="47" xr6:coauthVersionMax="47" xr10:uidLastSave="{00000000-0000-0000-0000-000000000000}"/>
  <bookViews>
    <workbookView xWindow="-110" yWindow="-110" windowWidth="19420" windowHeight="10300" xr2:uid="{C0E43946-A276-416D-A0FE-390BD7B4E2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2" i="1" l="1"/>
  <c r="B120" i="1"/>
  <c r="B118" i="1"/>
  <c r="B116" i="1"/>
  <c r="B114" i="1"/>
  <c r="B112" i="1"/>
  <c r="B110" i="1"/>
  <c r="B108" i="1"/>
  <c r="B106" i="1"/>
  <c r="K101" i="1"/>
  <c r="J101" i="1"/>
  <c r="I101" i="1"/>
  <c r="G101" i="1"/>
  <c r="D101" i="1"/>
  <c r="B101" i="1"/>
  <c r="K100" i="1"/>
  <c r="J100" i="1"/>
  <c r="I100" i="1"/>
  <c r="G100" i="1"/>
  <c r="D100" i="1"/>
  <c r="B100" i="1"/>
  <c r="K99" i="1"/>
  <c r="J99" i="1"/>
  <c r="I99" i="1"/>
  <c r="G99" i="1"/>
  <c r="D99" i="1"/>
  <c r="B99" i="1"/>
  <c r="K98" i="1"/>
  <c r="J98" i="1"/>
  <c r="I98" i="1"/>
  <c r="G98" i="1"/>
  <c r="D98" i="1"/>
  <c r="B98" i="1"/>
  <c r="K97" i="1"/>
  <c r="J97" i="1"/>
  <c r="I97" i="1"/>
  <c r="G97" i="1"/>
  <c r="D97" i="1"/>
  <c r="B97" i="1" s="1"/>
  <c r="K96" i="1"/>
  <c r="J96" i="1"/>
  <c r="I96" i="1"/>
  <c r="G96" i="1"/>
  <c r="D96" i="1"/>
  <c r="B96" i="1"/>
  <c r="K95" i="1"/>
  <c r="J95" i="1"/>
  <c r="I95" i="1"/>
  <c r="G95" i="1"/>
  <c r="D95" i="1"/>
  <c r="B95" i="1"/>
  <c r="K94" i="1"/>
  <c r="J94" i="1"/>
  <c r="I94" i="1"/>
  <c r="G94" i="1"/>
  <c r="D94" i="1"/>
  <c r="B94" i="1" s="1"/>
  <c r="K93" i="1"/>
  <c r="J93" i="1"/>
  <c r="I93" i="1"/>
  <c r="G93" i="1"/>
  <c r="D93" i="1"/>
  <c r="B93" i="1" s="1"/>
  <c r="K92" i="1"/>
  <c r="J92" i="1"/>
  <c r="I92" i="1"/>
  <c r="G92" i="1"/>
  <c r="D92" i="1"/>
  <c r="B92" i="1" s="1"/>
  <c r="K91" i="1"/>
  <c r="J91" i="1"/>
  <c r="I91" i="1"/>
  <c r="G91" i="1"/>
  <c r="D91" i="1"/>
  <c r="B91" i="1" s="1"/>
  <c r="K90" i="1"/>
  <c r="J90" i="1"/>
  <c r="I90" i="1"/>
  <c r="G90" i="1"/>
  <c r="D90" i="1"/>
  <c r="B90" i="1" s="1"/>
  <c r="K89" i="1"/>
  <c r="J89" i="1"/>
  <c r="I89" i="1"/>
  <c r="G89" i="1"/>
  <c r="D89" i="1"/>
  <c r="B89" i="1" s="1"/>
  <c r="K88" i="1"/>
  <c r="J88" i="1"/>
  <c r="I88" i="1"/>
  <c r="G88" i="1"/>
  <c r="D88" i="1"/>
  <c r="B88" i="1" s="1"/>
  <c r="K87" i="1"/>
  <c r="J87" i="1"/>
  <c r="I87" i="1"/>
  <c r="G87" i="1"/>
  <c r="D87" i="1"/>
  <c r="B87" i="1" s="1"/>
  <c r="K86" i="1"/>
  <c r="J86" i="1"/>
  <c r="I86" i="1"/>
  <c r="G86" i="1"/>
  <c r="D86" i="1"/>
  <c r="B86" i="1" s="1"/>
  <c r="K85" i="1"/>
  <c r="J85" i="1"/>
  <c r="I85" i="1"/>
  <c r="G85" i="1"/>
  <c r="D85" i="1"/>
  <c r="B85" i="1" s="1"/>
  <c r="K84" i="1"/>
  <c r="J84" i="1"/>
  <c r="I84" i="1"/>
  <c r="G84" i="1"/>
  <c r="D84" i="1"/>
  <c r="B84" i="1" s="1"/>
  <c r="K83" i="1"/>
  <c r="J83" i="1"/>
  <c r="I83" i="1"/>
  <c r="G83" i="1"/>
  <c r="D83" i="1"/>
  <c r="B83" i="1" s="1"/>
  <c r="K82" i="1"/>
  <c r="J82" i="1"/>
  <c r="I82" i="1"/>
  <c r="G82" i="1"/>
  <c r="D82" i="1"/>
  <c r="B82" i="1" s="1"/>
  <c r="K81" i="1"/>
  <c r="J81" i="1"/>
  <c r="I81" i="1"/>
  <c r="G81" i="1"/>
  <c r="D81" i="1"/>
  <c r="B81" i="1"/>
  <c r="K80" i="1"/>
  <c r="J80" i="1"/>
  <c r="I80" i="1"/>
  <c r="G80" i="1"/>
  <c r="D80" i="1"/>
  <c r="B80" i="1" s="1"/>
  <c r="K79" i="1"/>
  <c r="J79" i="1"/>
  <c r="I79" i="1"/>
  <c r="G79" i="1"/>
  <c r="D79" i="1"/>
  <c r="B79" i="1" s="1"/>
  <c r="K78" i="1"/>
  <c r="J78" i="1"/>
  <c r="I78" i="1"/>
  <c r="G78" i="1"/>
  <c r="D78" i="1"/>
  <c r="B78" i="1" s="1"/>
  <c r="K77" i="1"/>
  <c r="J77" i="1"/>
  <c r="I77" i="1"/>
  <c r="G77" i="1"/>
  <c r="D77" i="1"/>
  <c r="B77" i="1" s="1"/>
  <c r="K76" i="1"/>
  <c r="J76" i="1"/>
  <c r="I76" i="1"/>
  <c r="G76" i="1"/>
  <c r="D76" i="1"/>
  <c r="B76" i="1" s="1"/>
  <c r="K75" i="1"/>
  <c r="J75" i="1"/>
  <c r="I75" i="1"/>
  <c r="G75" i="1"/>
  <c r="D75" i="1"/>
  <c r="B75" i="1" s="1"/>
  <c r="K74" i="1"/>
  <c r="J74" i="1"/>
  <c r="I74" i="1"/>
  <c r="G74" i="1"/>
  <c r="D74" i="1"/>
  <c r="B74" i="1"/>
  <c r="K73" i="1"/>
  <c r="J73" i="1"/>
  <c r="I73" i="1"/>
  <c r="G73" i="1"/>
  <c r="D73" i="1"/>
  <c r="B73" i="1" s="1"/>
  <c r="K72" i="1"/>
  <c r="J72" i="1"/>
  <c r="I72" i="1"/>
  <c r="G72" i="1"/>
  <c r="D72" i="1"/>
  <c r="B72" i="1"/>
  <c r="K71" i="1"/>
  <c r="J71" i="1"/>
  <c r="I71" i="1"/>
  <c r="G71" i="1"/>
  <c r="D71" i="1"/>
  <c r="B71" i="1" s="1"/>
  <c r="K70" i="1"/>
  <c r="J70" i="1"/>
  <c r="I70" i="1"/>
  <c r="G70" i="1"/>
  <c r="D70" i="1"/>
  <c r="B70" i="1" s="1"/>
  <c r="K69" i="1"/>
  <c r="J69" i="1"/>
  <c r="I69" i="1"/>
  <c r="G69" i="1"/>
  <c r="D69" i="1"/>
  <c r="B69" i="1" s="1"/>
  <c r="K68" i="1"/>
  <c r="J68" i="1"/>
  <c r="I68" i="1"/>
  <c r="G68" i="1"/>
  <c r="D68" i="1"/>
  <c r="B68" i="1" s="1"/>
  <c r="K67" i="1"/>
  <c r="J67" i="1"/>
  <c r="I67" i="1"/>
  <c r="G67" i="1"/>
  <c r="D67" i="1"/>
  <c r="B67" i="1" s="1"/>
  <c r="K66" i="1"/>
  <c r="J66" i="1"/>
  <c r="I66" i="1"/>
  <c r="G66" i="1"/>
  <c r="D66" i="1"/>
  <c r="B66" i="1"/>
  <c r="K65" i="1"/>
  <c r="J65" i="1"/>
  <c r="I65" i="1"/>
  <c r="G65" i="1"/>
  <c r="D65" i="1"/>
  <c r="B65" i="1" s="1"/>
  <c r="K64" i="1"/>
  <c r="J64" i="1"/>
  <c r="I64" i="1"/>
  <c r="G64" i="1"/>
  <c r="D64" i="1"/>
  <c r="B64" i="1" s="1"/>
  <c r="K63" i="1"/>
  <c r="J63" i="1"/>
  <c r="I63" i="1"/>
  <c r="G63" i="1"/>
  <c r="D63" i="1"/>
  <c r="B63" i="1"/>
  <c r="K62" i="1"/>
  <c r="J62" i="1"/>
  <c r="I62" i="1"/>
  <c r="G62" i="1"/>
  <c r="D62" i="1"/>
  <c r="B62" i="1" s="1"/>
  <c r="K61" i="1"/>
  <c r="J61" i="1"/>
  <c r="I61" i="1"/>
  <c r="G61" i="1"/>
  <c r="D61" i="1"/>
  <c r="B61" i="1" s="1"/>
  <c r="K60" i="1"/>
  <c r="J60" i="1"/>
  <c r="I60" i="1"/>
  <c r="G60" i="1"/>
  <c r="D60" i="1"/>
  <c r="B60" i="1" s="1"/>
  <c r="K59" i="1"/>
  <c r="J59" i="1"/>
  <c r="I59" i="1"/>
  <c r="G59" i="1"/>
  <c r="D59" i="1"/>
  <c r="B59" i="1" s="1"/>
  <c r="K58" i="1"/>
  <c r="J58" i="1"/>
  <c r="I58" i="1"/>
  <c r="G58" i="1"/>
  <c r="D58" i="1"/>
  <c r="B58" i="1" s="1"/>
  <c r="K57" i="1"/>
  <c r="J57" i="1"/>
  <c r="I57" i="1"/>
  <c r="G57" i="1"/>
  <c r="D57" i="1"/>
  <c r="B57" i="1"/>
  <c r="K56" i="1"/>
  <c r="J56" i="1"/>
  <c r="I56" i="1"/>
  <c r="G56" i="1"/>
  <c r="D56" i="1"/>
  <c r="B56" i="1" s="1"/>
  <c r="K55" i="1"/>
  <c r="J55" i="1"/>
  <c r="I55" i="1"/>
  <c r="G55" i="1"/>
  <c r="D55" i="1"/>
  <c r="B55" i="1"/>
  <c r="K54" i="1"/>
  <c r="J54" i="1"/>
  <c r="I54" i="1"/>
  <c r="G54" i="1"/>
  <c r="D54" i="1"/>
  <c r="B54" i="1" s="1"/>
  <c r="K53" i="1"/>
  <c r="J53" i="1"/>
  <c r="I53" i="1"/>
  <c r="G53" i="1"/>
  <c r="D53" i="1"/>
  <c r="B53" i="1" s="1"/>
  <c r="K52" i="1"/>
  <c r="J52" i="1"/>
  <c r="I52" i="1"/>
  <c r="G52" i="1"/>
  <c r="D52" i="1"/>
  <c r="B52" i="1"/>
  <c r="K51" i="1"/>
  <c r="J51" i="1"/>
  <c r="I51" i="1"/>
  <c r="G51" i="1"/>
  <c r="D51" i="1"/>
  <c r="B51" i="1"/>
  <c r="K50" i="1"/>
  <c r="J50" i="1"/>
  <c r="I50" i="1"/>
  <c r="G50" i="1"/>
  <c r="D50" i="1"/>
  <c r="B50" i="1"/>
  <c r="K49" i="1"/>
  <c r="J49" i="1"/>
  <c r="I49" i="1"/>
  <c r="G49" i="1"/>
  <c r="D49" i="1"/>
  <c r="B49" i="1"/>
  <c r="K48" i="1"/>
  <c r="J48" i="1"/>
  <c r="I48" i="1"/>
  <c r="G48" i="1"/>
  <c r="D48" i="1"/>
  <c r="B48" i="1"/>
  <c r="K47" i="1"/>
  <c r="J47" i="1"/>
  <c r="I47" i="1"/>
  <c r="G47" i="1"/>
  <c r="D47" i="1"/>
  <c r="B47" i="1"/>
  <c r="K46" i="1"/>
  <c r="J46" i="1"/>
  <c r="I46" i="1"/>
  <c r="G46" i="1"/>
  <c r="D46" i="1"/>
  <c r="B46" i="1"/>
  <c r="K45" i="1"/>
  <c r="J45" i="1"/>
  <c r="I45" i="1"/>
  <c r="G45" i="1"/>
  <c r="D45" i="1"/>
  <c r="B45" i="1"/>
  <c r="K44" i="1"/>
  <c r="J44" i="1"/>
  <c r="I44" i="1"/>
  <c r="G44" i="1"/>
  <c r="D44" i="1"/>
  <c r="B44" i="1"/>
  <c r="K43" i="1"/>
  <c r="J43" i="1"/>
  <c r="I43" i="1"/>
  <c r="G43" i="1"/>
  <c r="D43" i="1"/>
  <c r="B43" i="1"/>
  <c r="K42" i="1"/>
  <c r="J42" i="1"/>
  <c r="I42" i="1"/>
  <c r="G42" i="1"/>
  <c r="D42" i="1"/>
  <c r="B42" i="1"/>
  <c r="K41" i="1"/>
  <c r="J41" i="1"/>
  <c r="I41" i="1"/>
  <c r="G41" i="1"/>
  <c r="D41" i="1"/>
  <c r="B41" i="1"/>
  <c r="K40" i="1"/>
  <c r="J40" i="1"/>
  <c r="I40" i="1"/>
  <c r="G40" i="1"/>
  <c r="D40" i="1"/>
  <c r="B40" i="1"/>
  <c r="K39" i="1"/>
  <c r="J39" i="1"/>
  <c r="I39" i="1"/>
  <c r="G39" i="1"/>
  <c r="D39" i="1"/>
  <c r="B39" i="1"/>
  <c r="K38" i="1"/>
  <c r="J38" i="1"/>
  <c r="I38" i="1"/>
  <c r="G38" i="1"/>
  <c r="D38" i="1"/>
  <c r="B38" i="1"/>
  <c r="K37" i="1"/>
  <c r="J37" i="1"/>
  <c r="I37" i="1"/>
  <c r="G37" i="1"/>
  <c r="D37" i="1"/>
  <c r="B37" i="1"/>
  <c r="K36" i="1"/>
  <c r="J36" i="1"/>
  <c r="I36" i="1"/>
  <c r="G36" i="1"/>
  <c r="D36" i="1"/>
  <c r="B36" i="1"/>
  <c r="K35" i="1"/>
  <c r="J35" i="1"/>
  <c r="I35" i="1"/>
  <c r="G35" i="1"/>
  <c r="D35" i="1"/>
  <c r="B35" i="1"/>
  <c r="K34" i="1"/>
  <c r="J34" i="1"/>
  <c r="I34" i="1"/>
  <c r="G34" i="1"/>
  <c r="D34" i="1"/>
  <c r="B34" i="1"/>
  <c r="K33" i="1"/>
  <c r="J33" i="1"/>
  <c r="I33" i="1"/>
  <c r="G33" i="1"/>
  <c r="D33" i="1"/>
  <c r="B33" i="1"/>
  <c r="K32" i="1"/>
  <c r="J32" i="1"/>
  <c r="I32" i="1"/>
  <c r="G32" i="1"/>
  <c r="D32" i="1"/>
  <c r="B32" i="1"/>
  <c r="K31" i="1"/>
  <c r="J31" i="1"/>
  <c r="I31" i="1"/>
  <c r="G31" i="1"/>
  <c r="D31" i="1"/>
  <c r="B31" i="1"/>
  <c r="K30" i="1"/>
  <c r="J30" i="1"/>
  <c r="I30" i="1"/>
  <c r="G30" i="1"/>
  <c r="D30" i="1"/>
  <c r="B30" i="1"/>
  <c r="K29" i="1"/>
  <c r="J29" i="1"/>
  <c r="I29" i="1"/>
  <c r="G29" i="1"/>
  <c r="D29" i="1"/>
  <c r="B29" i="1"/>
  <c r="K28" i="1"/>
  <c r="J28" i="1"/>
  <c r="I28" i="1"/>
  <c r="G28" i="1"/>
  <c r="D28" i="1"/>
  <c r="B28" i="1"/>
  <c r="K27" i="1"/>
  <c r="J27" i="1"/>
  <c r="I27" i="1"/>
  <c r="G27" i="1"/>
  <c r="D27" i="1"/>
  <c r="B27" i="1"/>
  <c r="K26" i="1"/>
  <c r="J26" i="1"/>
  <c r="I26" i="1"/>
  <c r="G26" i="1"/>
  <c r="D26" i="1"/>
  <c r="B26" i="1"/>
  <c r="K25" i="1"/>
  <c r="J25" i="1"/>
  <c r="I25" i="1"/>
  <c r="G25" i="1"/>
  <c r="D25" i="1"/>
  <c r="B25" i="1"/>
  <c r="K24" i="1"/>
  <c r="J24" i="1"/>
  <c r="I24" i="1"/>
  <c r="G24" i="1"/>
  <c r="D24" i="1"/>
  <c r="B24" i="1"/>
  <c r="K23" i="1"/>
  <c r="J23" i="1"/>
  <c r="I23" i="1"/>
  <c r="G23" i="1"/>
  <c r="D23" i="1"/>
  <c r="B23" i="1"/>
  <c r="K22" i="1"/>
  <c r="J22" i="1"/>
  <c r="I22" i="1"/>
  <c r="G22" i="1"/>
  <c r="D22" i="1"/>
  <c r="B22" i="1"/>
  <c r="K21" i="1"/>
  <c r="J21" i="1"/>
  <c r="I21" i="1"/>
  <c r="G21" i="1"/>
  <c r="D21" i="1"/>
  <c r="B21" i="1"/>
  <c r="K20" i="1"/>
  <c r="J20" i="1"/>
  <c r="I20" i="1"/>
  <c r="G20" i="1"/>
  <c r="D20" i="1"/>
  <c r="B20" i="1"/>
  <c r="K19" i="1"/>
  <c r="J19" i="1"/>
  <c r="I19" i="1"/>
  <c r="G19" i="1"/>
  <c r="D19" i="1"/>
  <c r="B19" i="1"/>
  <c r="K18" i="1"/>
  <c r="J18" i="1"/>
  <c r="I18" i="1"/>
  <c r="G18" i="1"/>
  <c r="D18" i="1"/>
  <c r="B18" i="1" s="1"/>
  <c r="K17" i="1"/>
  <c r="J17" i="1"/>
  <c r="I17" i="1"/>
  <c r="G17" i="1"/>
  <c r="D17" i="1"/>
  <c r="B17" i="1" s="1"/>
  <c r="K16" i="1"/>
  <c r="J16" i="1"/>
  <c r="I16" i="1"/>
  <c r="G16" i="1"/>
  <c r="D16" i="1"/>
  <c r="B16" i="1" s="1"/>
  <c r="K15" i="1"/>
  <c r="J15" i="1"/>
  <c r="I15" i="1"/>
  <c r="G15" i="1"/>
  <c r="D15" i="1"/>
  <c r="B15" i="1" s="1"/>
  <c r="K14" i="1"/>
  <c r="J14" i="1"/>
  <c r="I14" i="1"/>
  <c r="G14" i="1"/>
  <c r="D14" i="1"/>
  <c r="B14" i="1"/>
  <c r="K13" i="1"/>
  <c r="J13" i="1"/>
  <c r="I13" i="1"/>
  <c r="G13" i="1"/>
  <c r="D13" i="1"/>
  <c r="B13" i="1"/>
  <c r="K12" i="1"/>
  <c r="J12" i="1"/>
  <c r="I12" i="1"/>
  <c r="G12" i="1"/>
  <c r="D12" i="1"/>
  <c r="B12" i="1" s="1"/>
  <c r="K11" i="1"/>
  <c r="J11" i="1"/>
  <c r="I11" i="1"/>
  <c r="G11" i="1"/>
  <c r="D11" i="1"/>
  <c r="B11" i="1" s="1"/>
  <c r="K10" i="1"/>
  <c r="J10" i="1"/>
  <c r="I10" i="1"/>
  <c r="G10" i="1"/>
  <c r="D10" i="1"/>
  <c r="B10" i="1"/>
  <c r="K9" i="1"/>
  <c r="J9" i="1"/>
  <c r="I9" i="1"/>
  <c r="G9" i="1"/>
  <c r="D9" i="1"/>
  <c r="B9" i="1" s="1"/>
  <c r="K8" i="1"/>
  <c r="J8" i="1"/>
  <c r="I8" i="1"/>
  <c r="G8" i="1"/>
  <c r="D8" i="1"/>
  <c r="B8" i="1" s="1"/>
  <c r="K7" i="1"/>
  <c r="J7" i="1"/>
  <c r="I7" i="1"/>
  <c r="G7" i="1"/>
  <c r="D7" i="1"/>
  <c r="B7" i="1"/>
  <c r="K6" i="1"/>
  <c r="J6" i="1"/>
  <c r="I6" i="1"/>
  <c r="G6" i="1"/>
  <c r="D6" i="1"/>
  <c r="B6" i="1" s="1"/>
  <c r="K5" i="1"/>
  <c r="J5" i="1"/>
  <c r="I5" i="1"/>
  <c r="G5" i="1"/>
  <c r="D5" i="1"/>
  <c r="B5" i="1" s="1"/>
  <c r="K4" i="1"/>
  <c r="J4" i="1"/>
  <c r="I4" i="1"/>
  <c r="G4" i="1"/>
  <c r="D4" i="1"/>
  <c r="B4" i="1" s="1"/>
  <c r="K3" i="1"/>
  <c r="J3" i="1"/>
  <c r="I3" i="1"/>
  <c r="G3" i="1"/>
  <c r="D3" i="1"/>
  <c r="B3" i="1" s="1"/>
  <c r="K2" i="1"/>
  <c r="J2" i="1"/>
  <c r="I2" i="1"/>
  <c r="G2" i="1"/>
  <c r="D2" i="1"/>
  <c r="B2" i="1" s="1"/>
</calcChain>
</file>

<file path=xl/sharedStrings.xml><?xml version="1.0" encoding="utf-8"?>
<sst xmlns="http://schemas.openxmlformats.org/spreadsheetml/2006/main" count="825" uniqueCount="177">
  <si>
    <t>Employee ID</t>
  </si>
  <si>
    <t>Length</t>
  </si>
  <si>
    <t>Full Name</t>
  </si>
  <si>
    <t>Trimmed Full Name</t>
  </si>
  <si>
    <t>First Name</t>
  </si>
  <si>
    <t>Last Name</t>
  </si>
  <si>
    <t>Email</t>
  </si>
  <si>
    <t>Department</t>
  </si>
  <si>
    <t>Proper</t>
  </si>
  <si>
    <t>Upper</t>
  </si>
  <si>
    <t>Lower</t>
  </si>
  <si>
    <t>Job Title</t>
  </si>
  <si>
    <t>Gender</t>
  </si>
  <si>
    <t>Salary</t>
  </si>
  <si>
    <t>Experience (Years)</t>
  </si>
  <si>
    <t>City</t>
  </si>
  <si>
    <t>E001</t>
  </si>
  <si>
    <t>Sade Bassey</t>
  </si>
  <si>
    <t>Sade</t>
  </si>
  <si>
    <t>Bassey</t>
  </si>
  <si>
    <t>IT</t>
  </si>
  <si>
    <t>System Admin</t>
  </si>
  <si>
    <t>Female</t>
  </si>
  <si>
    <t>Port Harcourt</t>
  </si>
  <si>
    <t>E002</t>
  </si>
  <si>
    <t>Marketing</t>
  </si>
  <si>
    <t>Recruiter</t>
  </si>
  <si>
    <t>Male</t>
  </si>
  <si>
    <t>Ibadan</t>
  </si>
  <si>
    <t>E003</t>
  </si>
  <si>
    <t>Faith Udo</t>
  </si>
  <si>
    <t>Faith</t>
  </si>
  <si>
    <t>Udo</t>
  </si>
  <si>
    <t>Sales</t>
  </si>
  <si>
    <t>E004</t>
  </si>
  <si>
    <t>Finance</t>
  </si>
  <si>
    <t>Sales Executive</t>
  </si>
  <si>
    <t>Kano</t>
  </si>
  <si>
    <t>E005</t>
  </si>
  <si>
    <t>Ibrahim Musa</t>
  </si>
  <si>
    <t>Ibrahim</t>
  </si>
  <si>
    <t>Musa</t>
  </si>
  <si>
    <t>Lagos</t>
  </si>
  <si>
    <t>E006</t>
  </si>
  <si>
    <t>Tunde Salisu</t>
  </si>
  <si>
    <t>Tunde</t>
  </si>
  <si>
    <t>Salisu</t>
  </si>
  <si>
    <t>Auditor</t>
  </si>
  <si>
    <t>E007</t>
  </si>
  <si>
    <t>James Obi</t>
  </si>
  <si>
    <t>James</t>
  </si>
  <si>
    <t>Obi</t>
  </si>
  <si>
    <t>E008</t>
  </si>
  <si>
    <t>Abuja</t>
  </si>
  <si>
    <t>E009</t>
  </si>
  <si>
    <t>HR Manager</t>
  </si>
  <si>
    <t>E010</t>
  </si>
  <si>
    <t>Tope Ade</t>
  </si>
  <si>
    <t>Tope</t>
  </si>
  <si>
    <t>Ade</t>
  </si>
  <si>
    <t>HR</t>
  </si>
  <si>
    <t>E011</t>
  </si>
  <si>
    <t>Sales Manager</t>
  </si>
  <si>
    <t>E012</t>
  </si>
  <si>
    <t>Chika Umeh</t>
  </si>
  <si>
    <t>Chika</t>
  </si>
  <si>
    <t>Umeh</t>
  </si>
  <si>
    <t>Software Engineer</t>
  </si>
  <si>
    <t>E013</t>
  </si>
  <si>
    <t>E014</t>
  </si>
  <si>
    <t>Marketing Officer</t>
  </si>
  <si>
    <t>E015</t>
  </si>
  <si>
    <t>E016</t>
  </si>
  <si>
    <t>E017</t>
  </si>
  <si>
    <t>E018</t>
  </si>
  <si>
    <t>E019</t>
  </si>
  <si>
    <t>Maria Okafor</t>
  </si>
  <si>
    <t>Maria</t>
  </si>
  <si>
    <t>Okafor</t>
  </si>
  <si>
    <t>E020</t>
  </si>
  <si>
    <t>Accountant</t>
  </si>
  <si>
    <t>E021</t>
  </si>
  <si>
    <t>E022</t>
  </si>
  <si>
    <t>Data Analyst</t>
  </si>
  <si>
    <t>E023</t>
  </si>
  <si>
    <t>E024</t>
  </si>
  <si>
    <t>E025</t>
  </si>
  <si>
    <t>Ngozi Bello</t>
  </si>
  <si>
    <t>Ngozi</t>
  </si>
  <si>
    <t>Bello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</si>
  <si>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</si>
  <si>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</si>
  <si>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</si>
  <si>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</si>
  <si>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</si>
  <si>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</si>
  <si>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</si>
  <si>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</si>
  <si>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</si>
  <si>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</si>
  <si>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</si>
  <si>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</si>
  <si>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</si>
  <si>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</si>
  <si>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</si>
  <si>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</si>
  <si>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</si>
  <si>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</si>
  <si>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</si>
  <si>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</si>
  <si>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</si>
  <si>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</si>
  <si>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</si>
  <si>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Emeka John</t>
  </si>
  <si>
    <t>Emeka</t>
  </si>
  <si>
    <t>John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</si>
  <si>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</si>
  <si>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</si>
  <si>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</si>
  <si>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</si>
  <si>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</si>
  <si>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</si>
  <si>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</si>
  <si>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</si>
  <si>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</si>
  <si>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</si>
  <si>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</si>
  <si>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</si>
  <si>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</si>
  <si>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</si>
  <si>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</si>
  <si>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</si>
  <si>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</si>
  <si>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</si>
  <si>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</si>
  <si>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</si>
  <si>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</si>
  <si>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</si>
  <si>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</si>
  <si>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</si>
  <si>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</si>
  <si>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</si>
  <si>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</si>
  <si>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</si>
  <si>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</si>
  <si>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</si>
  <si>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</si>
  <si>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</si>
  <si>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</si>
  <si>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</si>
  <si>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</si>
  <si>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</si>
  <si>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</si>
  <si>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</si>
  <si>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</si>
  <si>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</si>
  <si>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</si>
  <si>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</si>
  <si>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</si>
  <si>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</si>
  <si>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</si>
  <si>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</si>
  <si>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</si>
  <si>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</si>
  <si>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</si>
  <si>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</si>
  <si>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</si>
  <si>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</si>
  <si>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Total Salary</t>
  </si>
  <si>
    <t>Average Salary</t>
  </si>
  <si>
    <t>Total Number of Employees</t>
  </si>
  <si>
    <t>Total Salary for only Sales Department</t>
  </si>
  <si>
    <t>Average Salary for only HR Department</t>
  </si>
  <si>
    <t>Total Salary for Lagos employees with more than 3 years of experience</t>
  </si>
  <si>
    <t>Average Salary for Female employees in Lagos</t>
  </si>
  <si>
    <t>Count the number of Male employees in Lagos</t>
  </si>
  <si>
    <t>Find the Maximum Salary for employees in IT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</si>
</sst>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"/>
    <numFmt numFmtId="165" formatCode="&quot;$&quot;#,##0"/>
  </numFmts>
  <fonts count="5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charset val="134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3" fillId="0" borderId="5" xfId="0" applyFont="1" applyBorder="1" applyAlignment="1">
      <alignment vertical="center"/>
    </xf>
    <xf numFmtId="164" fontId="0" fillId="0" borderId="5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8" xfId="0" applyFont="1" applyBorder="1" applyAlignment="1">
      <alignment vertical="center"/>
    </xf>
    <xf numFmtId="164" fontId="0" fillId="0" borderId="8" xfId="0" applyNumberFormat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164" fontId="1" fillId="2" borderId="2" xfId="0" applyNumberFormat="1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4" fillId="2" borderId="10" xfId="0" applyFont="1" applyFill="1" applyBorder="1" applyAlignment="1">
      <alignment vertical="center" wrapText="1"/>
    </xf>
    <xf numFmtId="164" fontId="4" fillId="2" borderId="11" xfId="0" applyNumberFormat="1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164" fontId="4" fillId="2" borderId="13" xfId="0" applyNumberFormat="1" applyFont="1" applyFill="1" applyBorder="1" applyAlignment="1">
      <alignment vertical="center"/>
    </xf>
    <xf numFmtId="0" fontId="4" fillId="2" borderId="12" xfId="0" applyFont="1" applyFill="1" applyBorder="1" applyAlignment="1">
      <alignment vertical="center" wrapText="1" shrinkToFit="1"/>
    </xf>
    <xf numFmtId="0" fontId="4" fillId="2" borderId="12" xfId="0" applyFont="1" applyFill="1" applyBorder="1" applyAlignment="1">
      <alignment vertical="center" wrapText="1"/>
    </xf>
    <xf numFmtId="0" fontId="4" fillId="2" borderId="14" xfId="0" applyFont="1" applyFill="1" applyBorder="1" applyAlignment="1">
      <alignment vertical="center" wrapText="1"/>
    </xf>
    <xf numFmtId="164" fontId="4" fillId="2" borderId="15" xfId="0" applyNumberFormat="1" applyFont="1" applyFill="1" applyBorder="1" applyAlignment="1">
      <alignment vertical="center"/>
    </xf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1" defaultTableStyle="TableStyleMedium2" defaultPivotStyle="PivotStyleLight16">
    <tableStyle name="Invisible" pivot="0" table="0" count="0" xr9:uid="{84AFC0B6-7609-41ED-9F7F-D45C1371B08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757B85-7494-4FF5-AF64-96C181E0C470}" name="Abiodun" displayName="Abiodun" ref="A1:P101" totalsRowShown="0" headerRowDxfId="0" headerRowBorderDxfId="18" tableBorderDxfId="19" totalsRowBorderDxfId="17">
  <autoFilter ref="A1:P101" xr:uid="{81757B85-7494-4FF5-AF64-96C181E0C470}"/>
  <tableColumns count="16">
    <tableColumn id="1" xr3:uid="{64F8EB56-C73B-44F2-8EBF-D5A7D97664D6}" name="Employee ID" dataDxfId="16"/>
    <tableColumn id="9" xr3:uid="{34892875-9DB4-4E7D-8219-BBE96774D7E5}" name="Length" dataDxfId="15">
      <calculatedColumnFormula>LEN(Abiodun[[#This Row],[Trimmed Full Name]])</calculatedColumnFormula>
    </tableColumn>
    <tableColumn id="2" xr3:uid="{2E272A1C-0543-4946-95D3-B203E5A7CE7A}" name="Full Name" dataDxfId="14"/>
    <tableColumn id="10" xr3:uid="{915A1267-8B1A-485C-85B4-C4B2881A5442}" name="Trimmed Full Name" dataDxfId="13">
      <calculatedColumnFormula>TRIM(Abiodun[[#This Row],[Full Name]])</calculatedColumnFormula>
    </tableColumn>
    <tableColumn id="11" xr3:uid="{7175EB37-5180-4C75-9378-31AECE34D60E}" name="First Name" dataDxfId="12"/>
    <tableColumn id="12" xr3:uid="{876FCC1B-618A-492C-823F-E838D8C5053D}" name="Last Name" dataDxfId="11"/>
    <tableColumn id="13" xr3:uid="{BC8BC7AF-3EC3-4E39-9EB2-B0EB36C885DA}" name="Email" dataDxfId="10">
      <calculatedColumnFormula>_xlfn.CONCAT(Abiodun[[#This Row],[First Name]],".",Abiodun[[#This Row],[Last Name]],"@dame.com")</calculatedColumnFormula>
    </tableColumn>
    <tableColumn id="3" xr3:uid="{C5D44520-228F-4430-91F2-B0440B2C5CE1}" name="Department" dataDxfId="9"/>
    <tableColumn id="15" xr3:uid="{C75FF040-8D14-49C1-9310-FCE0F6B0863D}" name="Proper" dataDxfId="8">
      <calculatedColumnFormula>PROPER(Abiodun[[#This Row],[Department]])</calculatedColumnFormula>
    </tableColumn>
    <tableColumn id="16" xr3:uid="{A2DC4FCB-FE6F-4EF6-83E3-360EE830A316}" name="Upper" dataDxfId="7">
      <calculatedColumnFormula>UPPER(Abiodun[[#This Row],[Department]])</calculatedColumnFormula>
    </tableColumn>
    <tableColumn id="14" xr3:uid="{BB29B5A5-4A5E-4F94-89CA-7868F4611BD9}" name="Lower" dataDxfId="6">
      <calculatedColumnFormula>LOWER(Abiodun[[#This Row],[Department]])</calculatedColumnFormula>
    </tableColumn>
    <tableColumn id="4" xr3:uid="{0BD130BA-C627-4ED2-B1DF-98FD2E43A347}" name="Job Title" dataDxfId="5"/>
    <tableColumn id="5" xr3:uid="{38C94AAE-BA1A-4519-86DC-A52466F0B759}" name="Gender" dataDxfId="4"/>
    <tableColumn id="6" xr3:uid="{5F2A089C-FCAD-497C-96A8-3A8C46012F1F}" name="Salary" dataDxfId="3"/>
    <tableColumn id="7" xr3:uid="{50C64620-92AC-4443-9893-2ACBB1A2A224}" name="Experience (Years)" dataDxfId="2"/>
    <tableColumn id="8" xr3:uid="{4C075D41-6711-4929-8FF9-72CAB7D77DC6}" name="City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DAFF7-0C4F-4F6E-A5F8-B28420E0C247}">
  <dimension ref="A1:P122"/>
  <sheetViews>
    <sheetView tabSelected="1" topLeftCell="A116" workbookViewId="0">
      <selection activeCell="A106" sqref="A106:B122"/>
    </sheetView>
  </sheetViews>
  <sheetFormatPr defaultRowHeight="14.5"/>
  <cols>
    <col min="1" max="1" width="17.81640625" customWidth="1"/>
    <col min="2" max="2" width="13.36328125" customWidth="1"/>
    <col min="3" max="3" width="15.453125" customWidth="1"/>
    <col min="4" max="4" width="21.81640625" customWidth="1"/>
    <col min="5" max="5" width="17.453125" customWidth="1"/>
    <col min="6" max="6" width="16" customWidth="1"/>
    <col min="7" max="7" width="24.7265625" customWidth="1"/>
    <col min="8" max="8" width="14.36328125" customWidth="1"/>
    <col min="9" max="9" width="12.6328125" customWidth="1"/>
    <col min="10" max="10" width="12.81640625" customWidth="1"/>
    <col min="11" max="11" width="12.26953125" customWidth="1"/>
    <col min="12" max="12" width="17.1796875" customWidth="1"/>
    <col min="13" max="13" width="12.1796875" customWidth="1"/>
    <col min="14" max="14" width="12.7265625" customWidth="1"/>
    <col min="15" max="15" width="21.90625" customWidth="1"/>
    <col min="16" max="16" width="14.08984375" customWidth="1"/>
  </cols>
  <sheetData>
    <row r="1" spans="1:16">
      <c r="A1" s="14" t="s">
        <v>0</v>
      </c>
      <c r="B1" s="15" t="s">
        <v>1</v>
      </c>
      <c r="C1" s="16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6" t="s">
        <v>7</v>
      </c>
      <c r="I1" s="17" t="s">
        <v>8</v>
      </c>
      <c r="J1" s="17" t="s">
        <v>9</v>
      </c>
      <c r="K1" s="17" t="s">
        <v>10</v>
      </c>
      <c r="L1" s="16" t="s">
        <v>11</v>
      </c>
      <c r="M1" s="16" t="s">
        <v>12</v>
      </c>
      <c r="N1" s="18" t="s">
        <v>13</v>
      </c>
      <c r="O1" s="16" t="s">
        <v>14</v>
      </c>
      <c r="P1" s="19" t="s">
        <v>15</v>
      </c>
    </row>
    <row r="2" spans="1:16">
      <c r="A2" s="1" t="s">
        <v>16</v>
      </c>
      <c r="B2" s="1">
        <f>LEN(Abiodun[[#This Row],[Trimmed Full Name]])</f>
        <v>11</v>
      </c>
      <c r="C2" s="2" t="s">
        <v>17</v>
      </c>
      <c r="D2" s="2" t="str">
        <f>TRIM(Abiodun[[#This Row],[Full Name]])</f>
        <v>Sade Bassey</v>
      </c>
      <c r="E2" s="3" t="s">
        <v>18</v>
      </c>
      <c r="F2" s="3" t="s">
        <v>19</v>
      </c>
      <c r="G2" s="3" t="str">
        <f>_xlfn.CONCAT(Abiodun[[#This Row],[First Name]],".",Abiodun[[#This Row],[Last Name]],"@dame.com")</f>
        <v>Sade.Bassey@dame.com</v>
      </c>
      <c r="H2" s="2" t="s">
        <v>20</v>
      </c>
      <c r="I2" s="2" t="str">
        <f>PROPER(Abiodun[[#This Row],[Department]])</f>
        <v>It</v>
      </c>
      <c r="J2" s="2" t="str">
        <f>UPPER(Abiodun[[#This Row],[Department]])</f>
        <v>IT</v>
      </c>
      <c r="K2" s="2" t="str">
        <f>LOWER(Abiodun[[#This Row],[Department]])</f>
        <v>it</v>
      </c>
      <c r="L2" s="2" t="s">
        <v>21</v>
      </c>
      <c r="M2" s="2" t="s">
        <v>22</v>
      </c>
      <c r="N2" s="4">
        <v>400712</v>
      </c>
      <c r="O2" s="2">
        <v>4</v>
      </c>
      <c r="P2" s="5" t="s">
        <v>23</v>
      </c>
    </row>
    <row r="3" spans="1:16">
      <c r="A3" s="1" t="s">
        <v>24</v>
      </c>
      <c r="B3" s="1">
        <f>LEN(Abiodun[[#This Row],[Trimmed Full Name]])</f>
        <v>11</v>
      </c>
      <c r="C3" s="2" t="s">
        <v>17</v>
      </c>
      <c r="D3" s="2" t="str">
        <f>TRIM(Abiodun[[#This Row],[Full Name]])</f>
        <v>Sade Bassey</v>
      </c>
      <c r="E3" s="3" t="s">
        <v>18</v>
      </c>
      <c r="F3" s="3" t="s">
        <v>19</v>
      </c>
      <c r="G3" s="3" t="str">
        <f>_xlfn.CONCAT(Abiodun[[#This Row],[First Name]],".",Abiodun[[#This Row],[Last Name]],"@dame.com")</f>
        <v>Sade.Bassey@dame.com</v>
      </c>
      <c r="H3" s="2" t="s">
        <v>25</v>
      </c>
      <c r="I3" s="2" t="str">
        <f>PROPER(Abiodun[[#This Row],[Department]])</f>
        <v>Marketing</v>
      </c>
      <c r="J3" s="2" t="str">
        <f>UPPER(Abiodun[[#This Row],[Department]])</f>
        <v>MARKETING</v>
      </c>
      <c r="K3" s="2" t="str">
        <f>LOWER(Abiodun[[#This Row],[Department]])</f>
        <v>marketing</v>
      </c>
      <c r="L3" s="2" t="s">
        <v>26</v>
      </c>
      <c r="M3" s="2" t="s">
        <v>27</v>
      </c>
      <c r="N3" s="4">
        <v>200754</v>
      </c>
      <c r="O3" s="2">
        <v>10</v>
      </c>
      <c r="P3" s="5" t="s">
        <v>28</v>
      </c>
    </row>
    <row r="4" spans="1:16">
      <c r="A4" s="1" t="s">
        <v>29</v>
      </c>
      <c r="B4" s="1">
        <f>LEN(Abiodun[[#This Row],[Trimmed Full Name]])</f>
        <v>9</v>
      </c>
      <c r="C4" s="2" t="s">
        <v>30</v>
      </c>
      <c r="D4" s="2" t="str">
        <f>TRIM(Abiodun[[#This Row],[Full Name]])</f>
        <v>Faith Udo</v>
      </c>
      <c r="E4" s="3" t="s">
        <v>31</v>
      </c>
      <c r="F4" s="3" t="s">
        <v>32</v>
      </c>
      <c r="G4" s="3" t="str">
        <f>_xlfn.CONCAT(Abiodun[[#This Row],[First Name]],".",Abiodun[[#This Row],[Last Name]],"@dame.com")</f>
        <v>Faith.Udo@dame.com</v>
      </c>
      <c r="H4" s="2" t="s">
        <v>33</v>
      </c>
      <c r="I4" s="2" t="str">
        <f>PROPER(Abiodun[[#This Row],[Department]])</f>
        <v>Sales</v>
      </c>
      <c r="J4" s="2" t="str">
        <f>UPPER(Abiodun[[#This Row],[Department]])</f>
        <v>SALES</v>
      </c>
      <c r="K4" s="2" t="str">
        <f>LOWER(Abiodun[[#This Row],[Department]])</f>
        <v>sales</v>
      </c>
      <c r="L4" s="2" t="s">
        <v>26</v>
      </c>
      <c r="M4" s="2" t="s">
        <v>22</v>
      </c>
      <c r="N4" s="4">
        <v>457735</v>
      </c>
      <c r="O4" s="2">
        <v>3</v>
      </c>
      <c r="P4" s="5" t="s">
        <v>23</v>
      </c>
    </row>
    <row r="5" spans="1:16">
      <c r="A5" s="1" t="s">
        <v>34</v>
      </c>
      <c r="B5" s="1">
        <f>LEN(Abiodun[[#This Row],[Trimmed Full Name]])</f>
        <v>11</v>
      </c>
      <c r="C5" s="2" t="s">
        <v>17</v>
      </c>
      <c r="D5" s="2" t="str">
        <f>TRIM(Abiodun[[#This Row],[Full Name]])</f>
        <v>Sade Bassey</v>
      </c>
      <c r="E5" s="3" t="s">
        <v>18</v>
      </c>
      <c r="F5" s="3" t="s">
        <v>19</v>
      </c>
      <c r="G5" s="3" t="str">
        <f>_xlfn.CONCAT(Abiodun[[#This Row],[First Name]],".",Abiodun[[#This Row],[Last Name]],"@dame.com")</f>
        <v>Sade.Bassey@dame.com</v>
      </c>
      <c r="H5" s="2" t="s">
        <v>35</v>
      </c>
      <c r="I5" s="2" t="str">
        <f>PROPER(Abiodun[[#This Row],[Department]])</f>
        <v>Finance</v>
      </c>
      <c r="J5" s="2" t="str">
        <f>UPPER(Abiodun[[#This Row],[Department]])</f>
        <v>FINANCE</v>
      </c>
      <c r="K5" s="2" t="str">
        <f>LOWER(Abiodun[[#This Row],[Department]])</f>
        <v>finance</v>
      </c>
      <c r="L5" s="2" t="s">
        <v>36</v>
      </c>
      <c r="M5" s="2" t="s">
        <v>22</v>
      </c>
      <c r="N5" s="4">
        <v>337091</v>
      </c>
      <c r="O5" s="2">
        <v>2</v>
      </c>
      <c r="P5" s="5" t="s">
        <v>37</v>
      </c>
    </row>
    <row r="6" spans="1:16">
      <c r="A6" s="1" t="s">
        <v>38</v>
      </c>
      <c r="B6" s="1">
        <f>LEN(Abiodun[[#This Row],[Trimmed Full Name]])</f>
        <v>12</v>
      </c>
      <c r="C6" s="2" t="s">
        <v>39</v>
      </c>
      <c r="D6" s="2" t="str">
        <f>TRIM(Abiodun[[#This Row],[Full Name]])</f>
        <v>Ibrahim Musa</v>
      </c>
      <c r="E6" s="3" t="s">
        <v>40</v>
      </c>
      <c r="F6" s="3" t="s">
        <v>41</v>
      </c>
      <c r="G6" s="3" t="str">
        <f>_xlfn.CONCAT(Abiodun[[#This Row],[First Name]],".",Abiodun[[#This Row],[Last Name]],"@dame.com")</f>
        <v>Ibrahim.Musa@dame.com</v>
      </c>
      <c r="H6" s="2" t="s">
        <v>20</v>
      </c>
      <c r="I6" s="2" t="str">
        <f>PROPER(Abiodun[[#This Row],[Department]])</f>
        <v>It</v>
      </c>
      <c r="J6" s="2" t="str">
        <f>UPPER(Abiodun[[#This Row],[Department]])</f>
        <v>IT</v>
      </c>
      <c r="K6" s="2" t="str">
        <f>LOWER(Abiodun[[#This Row],[Department]])</f>
        <v>it</v>
      </c>
      <c r="L6" s="2" t="s">
        <v>26</v>
      </c>
      <c r="M6" s="2" t="s">
        <v>27</v>
      </c>
      <c r="N6" s="4">
        <v>436492</v>
      </c>
      <c r="O6" s="2">
        <v>5</v>
      </c>
      <c r="P6" s="5" t="s">
        <v>42</v>
      </c>
    </row>
    <row r="7" spans="1:16">
      <c r="A7" s="1" t="s">
        <v>43</v>
      </c>
      <c r="B7" s="1">
        <f>LEN(Abiodun[[#This Row],[Trimmed Full Name]])</f>
        <v>12</v>
      </c>
      <c r="C7" s="2" t="s">
        <v>44</v>
      </c>
      <c r="D7" s="2" t="str">
        <f>TRIM(Abiodun[[#This Row],[Full Name]])</f>
        <v>Tunde Salisu</v>
      </c>
      <c r="E7" s="3" t="s">
        <v>45</v>
      </c>
      <c r="F7" s="3" t="s">
        <v>46</v>
      </c>
      <c r="G7" s="3" t="str">
        <f>_xlfn.CONCAT(Abiodun[[#This Row],[First Name]],".",Abiodun[[#This Row],[Last Name]],"@dame.com")</f>
        <v>Tunde.Salisu@dame.com</v>
      </c>
      <c r="H7" s="2" t="s">
        <v>20</v>
      </c>
      <c r="I7" s="2" t="str">
        <f>PROPER(Abiodun[[#This Row],[Department]])</f>
        <v>It</v>
      </c>
      <c r="J7" s="2" t="str">
        <f>UPPER(Abiodun[[#This Row],[Department]])</f>
        <v>IT</v>
      </c>
      <c r="K7" s="2" t="str">
        <f>LOWER(Abiodun[[#This Row],[Department]])</f>
        <v>it</v>
      </c>
      <c r="L7" s="2" t="s">
        <v>47</v>
      </c>
      <c r="M7" s="2" t="s">
        <v>22</v>
      </c>
      <c r="N7" s="4">
        <v>404484</v>
      </c>
      <c r="O7" s="2">
        <v>10</v>
      </c>
      <c r="P7" s="5" t="s">
        <v>37</v>
      </c>
    </row>
    <row r="8" spans="1:16">
      <c r="A8" s="1" t="s">
        <v>48</v>
      </c>
      <c r="B8" s="1">
        <f>LEN(Abiodun[[#This Row],[Trimmed Full Name]])</f>
        <v>9</v>
      </c>
      <c r="C8" s="2" t="s">
        <v>49</v>
      </c>
      <c r="D8" s="2" t="str">
        <f>TRIM(Abiodun[[#This Row],[Full Name]])</f>
        <v>James Obi</v>
      </c>
      <c r="E8" s="3" t="s">
        <v>50</v>
      </c>
      <c r="F8" s="3" t="s">
        <v>51</v>
      </c>
      <c r="G8" s="3" t="str">
        <f>_xlfn.CONCAT(Abiodun[[#This Row],[First Name]],".",Abiodun[[#This Row],[Last Name]],"@dame.com")</f>
        <v>James.Obi@dame.com</v>
      </c>
      <c r="H8" s="2" t="s">
        <v>20</v>
      </c>
      <c r="I8" s="2" t="str">
        <f>PROPER(Abiodun[[#This Row],[Department]])</f>
        <v>It</v>
      </c>
      <c r="J8" s="2" t="str">
        <f>UPPER(Abiodun[[#This Row],[Department]])</f>
        <v>IT</v>
      </c>
      <c r="K8" s="2" t="str">
        <f>LOWER(Abiodun[[#This Row],[Department]])</f>
        <v>it</v>
      </c>
      <c r="L8" s="2" t="s">
        <v>21</v>
      </c>
      <c r="M8" s="2" t="s">
        <v>22</v>
      </c>
      <c r="N8" s="4">
        <v>450806</v>
      </c>
      <c r="O8" s="2">
        <v>3</v>
      </c>
      <c r="P8" s="5" t="s">
        <v>28</v>
      </c>
    </row>
    <row r="9" spans="1:16">
      <c r="A9" s="1" t="s">
        <v>52</v>
      </c>
      <c r="B9" s="1">
        <f>LEN(Abiodun[[#This Row],[Trimmed Full Name]])</f>
        <v>12</v>
      </c>
      <c r="C9" s="2" t="s">
        <v>39</v>
      </c>
      <c r="D9" s="2" t="str">
        <f>TRIM(Abiodun[[#This Row],[Full Name]])</f>
        <v>Ibrahim Musa</v>
      </c>
      <c r="E9" s="3" t="s">
        <v>40</v>
      </c>
      <c r="F9" s="3" t="s">
        <v>41</v>
      </c>
      <c r="G9" s="3" t="str">
        <f>_xlfn.CONCAT(Abiodun[[#This Row],[First Name]],".",Abiodun[[#This Row],[Last Name]],"@dame.com")</f>
        <v>Ibrahim.Musa@dame.com</v>
      </c>
      <c r="H9" s="2" t="s">
        <v>35</v>
      </c>
      <c r="I9" s="2" t="str">
        <f>PROPER(Abiodun[[#This Row],[Department]])</f>
        <v>Finance</v>
      </c>
      <c r="J9" s="2" t="str">
        <f>UPPER(Abiodun[[#This Row],[Department]])</f>
        <v>FINANCE</v>
      </c>
      <c r="K9" s="2" t="str">
        <f>LOWER(Abiodun[[#This Row],[Department]])</f>
        <v>finance</v>
      </c>
      <c r="L9" s="2" t="s">
        <v>26</v>
      </c>
      <c r="M9" s="2" t="s">
        <v>22</v>
      </c>
      <c r="N9" s="4">
        <v>307961</v>
      </c>
      <c r="O9" s="2">
        <v>2</v>
      </c>
      <c r="P9" s="5" t="s">
        <v>53</v>
      </c>
    </row>
    <row r="10" spans="1:16">
      <c r="A10" s="1" t="s">
        <v>54</v>
      </c>
      <c r="B10" s="1">
        <f>LEN(Abiodun[[#This Row],[Trimmed Full Name]])</f>
        <v>9</v>
      </c>
      <c r="C10" s="2" t="s">
        <v>30</v>
      </c>
      <c r="D10" s="2" t="str">
        <f>TRIM(Abiodun[[#This Row],[Full Name]])</f>
        <v>Faith Udo</v>
      </c>
      <c r="E10" s="3" t="s">
        <v>31</v>
      </c>
      <c r="F10" s="3" t="s">
        <v>32</v>
      </c>
      <c r="G10" s="3" t="str">
        <f>_xlfn.CONCAT(Abiodun[[#This Row],[First Name]],".",Abiodun[[#This Row],[Last Name]],"@dame.com")</f>
        <v>Faith.Udo@dame.com</v>
      </c>
      <c r="H10" s="2" t="s">
        <v>33</v>
      </c>
      <c r="I10" s="2" t="str">
        <f>PROPER(Abiodun[[#This Row],[Department]])</f>
        <v>Sales</v>
      </c>
      <c r="J10" s="2" t="str">
        <f>UPPER(Abiodun[[#This Row],[Department]])</f>
        <v>SALES</v>
      </c>
      <c r="K10" s="2" t="str">
        <f>LOWER(Abiodun[[#This Row],[Department]])</f>
        <v>sales</v>
      </c>
      <c r="L10" s="2" t="s">
        <v>55</v>
      </c>
      <c r="M10" s="2" t="s">
        <v>27</v>
      </c>
      <c r="N10" s="4">
        <v>246421</v>
      </c>
      <c r="O10" s="2">
        <v>6</v>
      </c>
      <c r="P10" s="5" t="s">
        <v>42</v>
      </c>
    </row>
    <row r="11" spans="1:16">
      <c r="A11" s="1" t="s">
        <v>56</v>
      </c>
      <c r="B11" s="1">
        <f>LEN(Abiodun[[#This Row],[Trimmed Full Name]])</f>
        <v>8</v>
      </c>
      <c r="C11" s="2" t="s">
        <v>57</v>
      </c>
      <c r="D11" s="2" t="str">
        <f>TRIM(Abiodun[[#This Row],[Full Name]])</f>
        <v>Tope Ade</v>
      </c>
      <c r="E11" s="3" t="s">
        <v>58</v>
      </c>
      <c r="F11" s="3" t="s">
        <v>59</v>
      </c>
      <c r="G11" s="3" t="str">
        <f>_xlfn.CONCAT(Abiodun[[#This Row],[First Name]],".",Abiodun[[#This Row],[Last Name]],"@dame.com")</f>
        <v>Tope.Ade@dame.com</v>
      </c>
      <c r="H11" s="2" t="s">
        <v>60</v>
      </c>
      <c r="I11" s="2" t="str">
        <f>PROPER(Abiodun[[#This Row],[Department]])</f>
        <v>Hr</v>
      </c>
      <c r="J11" s="2" t="str">
        <f>UPPER(Abiodun[[#This Row],[Department]])</f>
        <v>HR</v>
      </c>
      <c r="K11" s="2" t="str">
        <f>LOWER(Abiodun[[#This Row],[Department]])</f>
        <v>hr</v>
      </c>
      <c r="L11" s="2" t="s">
        <v>55</v>
      </c>
      <c r="M11" s="2" t="s">
        <v>27</v>
      </c>
      <c r="N11" s="4">
        <v>403684</v>
      </c>
      <c r="O11" s="2">
        <v>3</v>
      </c>
      <c r="P11" s="5" t="s">
        <v>28</v>
      </c>
    </row>
    <row r="12" spans="1:16">
      <c r="A12" s="1" t="s">
        <v>61</v>
      </c>
      <c r="B12" s="1">
        <f>LEN(Abiodun[[#This Row],[Trimmed Full Name]])</f>
        <v>9</v>
      </c>
      <c r="C12" s="2" t="s">
        <v>49</v>
      </c>
      <c r="D12" s="2" t="str">
        <f>TRIM(Abiodun[[#This Row],[Full Name]])</f>
        <v>James Obi</v>
      </c>
      <c r="E12" s="3" t="s">
        <v>50</v>
      </c>
      <c r="F12" s="3" t="s">
        <v>51</v>
      </c>
      <c r="G12" s="3" t="str">
        <f>_xlfn.CONCAT(Abiodun[[#This Row],[First Name]],".",Abiodun[[#This Row],[Last Name]],"@dame.com")</f>
        <v>James.Obi@dame.com</v>
      </c>
      <c r="H12" s="2" t="s">
        <v>25</v>
      </c>
      <c r="I12" s="2" t="str">
        <f>PROPER(Abiodun[[#This Row],[Department]])</f>
        <v>Marketing</v>
      </c>
      <c r="J12" s="2" t="str">
        <f>UPPER(Abiodun[[#This Row],[Department]])</f>
        <v>MARKETING</v>
      </c>
      <c r="K12" s="2" t="str">
        <f>LOWER(Abiodun[[#This Row],[Department]])</f>
        <v>marketing</v>
      </c>
      <c r="L12" s="2" t="s">
        <v>62</v>
      </c>
      <c r="M12" s="2" t="s">
        <v>22</v>
      </c>
      <c r="N12" s="4">
        <v>317995</v>
      </c>
      <c r="O12" s="2">
        <v>9</v>
      </c>
      <c r="P12" s="5" t="s">
        <v>42</v>
      </c>
    </row>
    <row r="13" spans="1:16">
      <c r="A13" s="1" t="s">
        <v>63</v>
      </c>
      <c r="B13" s="1">
        <f>LEN(Abiodun[[#This Row],[Trimmed Full Name]])</f>
        <v>10</v>
      </c>
      <c r="C13" s="2" t="s">
        <v>64</v>
      </c>
      <c r="D13" s="2" t="str">
        <f>TRIM(Abiodun[[#This Row],[Full Name]])</f>
        <v>Chika Umeh</v>
      </c>
      <c r="E13" s="3" t="s">
        <v>65</v>
      </c>
      <c r="F13" s="3" t="s">
        <v>66</v>
      </c>
      <c r="G13" s="3" t="str">
        <f>_xlfn.CONCAT(Abiodun[[#This Row],[First Name]],".",Abiodun[[#This Row],[Last Name]],"@dame.com")</f>
        <v>Chika.Umeh@dame.com</v>
      </c>
      <c r="H13" s="2" t="s">
        <v>60</v>
      </c>
      <c r="I13" s="2" t="str">
        <f>PROPER(Abiodun[[#This Row],[Department]])</f>
        <v>Hr</v>
      </c>
      <c r="J13" s="2" t="str">
        <f>UPPER(Abiodun[[#This Row],[Department]])</f>
        <v>HR</v>
      </c>
      <c r="K13" s="2" t="str">
        <f>LOWER(Abiodun[[#This Row],[Department]])</f>
        <v>hr</v>
      </c>
      <c r="L13" s="2" t="s">
        <v>67</v>
      </c>
      <c r="M13" s="2" t="s">
        <v>22</v>
      </c>
      <c r="N13" s="4">
        <v>242669</v>
      </c>
      <c r="O13" s="2">
        <v>6</v>
      </c>
      <c r="P13" s="5" t="s">
        <v>42</v>
      </c>
    </row>
    <row r="14" spans="1:16">
      <c r="A14" s="1" t="s">
        <v>68</v>
      </c>
      <c r="B14" s="1">
        <f>LEN(Abiodun[[#This Row],[Trimmed Full Name]])</f>
        <v>10</v>
      </c>
      <c r="C14" s="2" t="s">
        <v>64</v>
      </c>
      <c r="D14" s="2" t="str">
        <f>TRIM(Abiodun[[#This Row],[Full Name]])</f>
        <v>Chika Umeh</v>
      </c>
      <c r="E14" s="3" t="s">
        <v>65</v>
      </c>
      <c r="F14" s="3" t="s">
        <v>66</v>
      </c>
      <c r="G14" s="3" t="str">
        <f>_xlfn.CONCAT(Abiodun[[#This Row],[First Name]],".",Abiodun[[#This Row],[Last Name]],"@dame.com")</f>
        <v>Chika.Umeh@dame.com</v>
      </c>
      <c r="H14" s="2" t="s">
        <v>60</v>
      </c>
      <c r="I14" s="2" t="str">
        <f>PROPER(Abiodun[[#This Row],[Department]])</f>
        <v>Hr</v>
      </c>
      <c r="J14" s="2" t="str">
        <f>UPPER(Abiodun[[#This Row],[Department]])</f>
        <v>HR</v>
      </c>
      <c r="K14" s="2" t="str">
        <f>LOWER(Abiodun[[#This Row],[Department]])</f>
        <v>hr</v>
      </c>
      <c r="L14" s="2" t="s">
        <v>36</v>
      </c>
      <c r="M14" s="2" t="s">
        <v>27</v>
      </c>
      <c r="N14" s="4">
        <v>364238</v>
      </c>
      <c r="O14" s="2">
        <v>7</v>
      </c>
      <c r="P14" s="5" t="s">
        <v>37</v>
      </c>
    </row>
    <row r="15" spans="1:16">
      <c r="A15" s="1" t="s">
        <v>69</v>
      </c>
      <c r="B15" s="1">
        <f>LEN(Abiodun[[#This Row],[Trimmed Full Name]])</f>
        <v>11</v>
      </c>
      <c r="C15" s="2" t="s">
        <v>17</v>
      </c>
      <c r="D15" s="2" t="str">
        <f>TRIM(Abiodun[[#This Row],[Full Name]])</f>
        <v>Sade Bassey</v>
      </c>
      <c r="E15" s="3" t="s">
        <v>18</v>
      </c>
      <c r="F15" s="3" t="s">
        <v>19</v>
      </c>
      <c r="G15" s="3" t="str">
        <f>_xlfn.CONCAT(Abiodun[[#This Row],[First Name]],".",Abiodun[[#This Row],[Last Name]],"@dame.com")</f>
        <v>Sade.Bassey@dame.com</v>
      </c>
      <c r="H15" s="2" t="s">
        <v>35</v>
      </c>
      <c r="I15" s="2" t="str">
        <f>PROPER(Abiodun[[#This Row],[Department]])</f>
        <v>Finance</v>
      </c>
      <c r="J15" s="2" t="str">
        <f>UPPER(Abiodun[[#This Row],[Department]])</f>
        <v>FINANCE</v>
      </c>
      <c r="K15" s="2" t="str">
        <f>LOWER(Abiodun[[#This Row],[Department]])</f>
        <v>finance</v>
      </c>
      <c r="L15" s="2" t="s">
        <v>70</v>
      </c>
      <c r="M15" s="2" t="s">
        <v>22</v>
      </c>
      <c r="N15" s="4">
        <v>215724</v>
      </c>
      <c r="O15" s="2">
        <v>9</v>
      </c>
      <c r="P15" s="5" t="s">
        <v>53</v>
      </c>
    </row>
    <row r="16" spans="1:16">
      <c r="A16" s="1" t="s">
        <v>71</v>
      </c>
      <c r="B16" s="1">
        <f>LEN(Abiodun[[#This Row],[Trimmed Full Name]])</f>
        <v>10</v>
      </c>
      <c r="C16" s="2" t="s">
        <v>64</v>
      </c>
      <c r="D16" s="2" t="str">
        <f>TRIM(Abiodun[[#This Row],[Full Name]])</f>
        <v>Chika Umeh</v>
      </c>
      <c r="E16" s="3" t="s">
        <v>65</v>
      </c>
      <c r="F16" s="3" t="s">
        <v>66</v>
      </c>
      <c r="G16" s="3" t="str">
        <f>_xlfn.CONCAT(Abiodun[[#This Row],[First Name]],".",Abiodun[[#This Row],[Last Name]],"@dame.com")</f>
        <v>Chika.Umeh@dame.com</v>
      </c>
      <c r="H16" s="2" t="s">
        <v>25</v>
      </c>
      <c r="I16" s="2" t="str">
        <f>PROPER(Abiodun[[#This Row],[Department]])</f>
        <v>Marketing</v>
      </c>
      <c r="J16" s="2" t="str">
        <f>UPPER(Abiodun[[#This Row],[Department]])</f>
        <v>MARKETING</v>
      </c>
      <c r="K16" s="2" t="str">
        <f>LOWER(Abiodun[[#This Row],[Department]])</f>
        <v>marketing</v>
      </c>
      <c r="L16" s="2" t="s">
        <v>67</v>
      </c>
      <c r="M16" s="2" t="s">
        <v>27</v>
      </c>
      <c r="N16" s="4">
        <v>301679</v>
      </c>
      <c r="O16" s="2">
        <v>10</v>
      </c>
      <c r="P16" s="5" t="s">
        <v>28</v>
      </c>
    </row>
    <row r="17" spans="1:16">
      <c r="A17" s="1" t="s">
        <v>72</v>
      </c>
      <c r="B17" s="1">
        <f>LEN(Abiodun[[#This Row],[Trimmed Full Name]])</f>
        <v>12</v>
      </c>
      <c r="C17" s="2" t="s">
        <v>39</v>
      </c>
      <c r="D17" s="2" t="str">
        <f>TRIM(Abiodun[[#This Row],[Full Name]])</f>
        <v>Ibrahim Musa</v>
      </c>
      <c r="E17" s="3" t="s">
        <v>40</v>
      </c>
      <c r="F17" s="3" t="s">
        <v>41</v>
      </c>
      <c r="G17" s="3" t="str">
        <f>_xlfn.CONCAT(Abiodun[[#This Row],[First Name]],".",Abiodun[[#This Row],[Last Name]],"@dame.com")</f>
        <v>Ibrahim.Musa@dame.com</v>
      </c>
      <c r="H17" s="2" t="s">
        <v>20</v>
      </c>
      <c r="I17" s="2" t="str">
        <f>PROPER(Abiodun[[#This Row],[Department]])</f>
        <v>It</v>
      </c>
      <c r="J17" s="2" t="str">
        <f>UPPER(Abiodun[[#This Row],[Department]])</f>
        <v>IT</v>
      </c>
      <c r="K17" s="2" t="str">
        <f>LOWER(Abiodun[[#This Row],[Department]])</f>
        <v>it</v>
      </c>
      <c r="L17" s="2" t="s">
        <v>70</v>
      </c>
      <c r="M17" s="2" t="s">
        <v>27</v>
      </c>
      <c r="N17" s="4">
        <v>243689</v>
      </c>
      <c r="O17" s="2">
        <v>3</v>
      </c>
      <c r="P17" s="5" t="s">
        <v>42</v>
      </c>
    </row>
    <row r="18" spans="1:16">
      <c r="A18" s="1" t="s">
        <v>73</v>
      </c>
      <c r="B18" s="1">
        <f>LEN(Abiodun[[#This Row],[Trimmed Full Name]])</f>
        <v>12</v>
      </c>
      <c r="C18" s="2" t="s">
        <v>44</v>
      </c>
      <c r="D18" s="2" t="str">
        <f>TRIM(Abiodun[[#This Row],[Full Name]])</f>
        <v>Tunde Salisu</v>
      </c>
      <c r="E18" s="3" t="s">
        <v>45</v>
      </c>
      <c r="F18" s="3" t="s">
        <v>46</v>
      </c>
      <c r="G18" s="3" t="str">
        <f>_xlfn.CONCAT(Abiodun[[#This Row],[First Name]],".",Abiodun[[#This Row],[Last Name]],"@dame.com")</f>
        <v>Tunde.Salisu@dame.com</v>
      </c>
      <c r="H18" s="2" t="s">
        <v>20</v>
      </c>
      <c r="I18" s="2" t="str">
        <f>PROPER(Abiodun[[#This Row],[Department]])</f>
        <v>It</v>
      </c>
      <c r="J18" s="2" t="str">
        <f>UPPER(Abiodun[[#This Row],[Department]])</f>
        <v>IT</v>
      </c>
      <c r="K18" s="2" t="str">
        <f>LOWER(Abiodun[[#This Row],[Department]])</f>
        <v>it</v>
      </c>
      <c r="L18" s="2" t="s">
        <v>21</v>
      </c>
      <c r="M18" s="2" t="s">
        <v>22</v>
      </c>
      <c r="N18" s="4">
        <v>465805</v>
      </c>
      <c r="O18" s="2">
        <v>10</v>
      </c>
      <c r="P18" s="5" t="s">
        <v>28</v>
      </c>
    </row>
    <row r="19" spans="1:16">
      <c r="A19" s="1" t="s">
        <v>74</v>
      </c>
      <c r="B19" s="1">
        <f>LEN(Abiodun[[#This Row],[Trimmed Full Name]])</f>
        <v>10</v>
      </c>
      <c r="C19" s="2" t="s">
        <v>64</v>
      </c>
      <c r="D19" s="2" t="str">
        <f>TRIM(Abiodun[[#This Row],[Full Name]])</f>
        <v>Chika Umeh</v>
      </c>
      <c r="E19" s="3" t="s">
        <v>65</v>
      </c>
      <c r="F19" s="3" t="s">
        <v>66</v>
      </c>
      <c r="G19" s="3" t="str">
        <f>_xlfn.CONCAT(Abiodun[[#This Row],[First Name]],".",Abiodun[[#This Row],[Last Name]],"@dame.com")</f>
        <v>Chika.Umeh@dame.com</v>
      </c>
      <c r="H19" s="2" t="s">
        <v>25</v>
      </c>
      <c r="I19" s="2" t="str">
        <f>PROPER(Abiodun[[#This Row],[Department]])</f>
        <v>Marketing</v>
      </c>
      <c r="J19" s="2" t="str">
        <f>UPPER(Abiodun[[#This Row],[Department]])</f>
        <v>MARKETING</v>
      </c>
      <c r="K19" s="2" t="str">
        <f>LOWER(Abiodun[[#This Row],[Department]])</f>
        <v>marketing</v>
      </c>
      <c r="L19" s="2" t="s">
        <v>26</v>
      </c>
      <c r="M19" s="2" t="s">
        <v>27</v>
      </c>
      <c r="N19" s="4">
        <v>414186</v>
      </c>
      <c r="O19" s="2">
        <v>7</v>
      </c>
      <c r="P19" s="5" t="s">
        <v>53</v>
      </c>
    </row>
    <row r="20" spans="1:16">
      <c r="A20" s="1" t="s">
        <v>75</v>
      </c>
      <c r="B20" s="1">
        <f>LEN(Abiodun[[#This Row],[Trimmed Full Name]])</f>
        <v>12</v>
      </c>
      <c r="C20" s="2" t="s">
        <v>76</v>
      </c>
      <c r="D20" s="2" t="str">
        <f>TRIM(Abiodun[[#This Row],[Full Name]])</f>
        <v>Maria Okafor</v>
      </c>
      <c r="E20" s="3" t="s">
        <v>77</v>
      </c>
      <c r="F20" s="3" t="s">
        <v>78</v>
      </c>
      <c r="G20" s="3" t="str">
        <f>_xlfn.CONCAT(Abiodun[[#This Row],[First Name]],".",Abiodun[[#This Row],[Last Name]],"@dame.com")</f>
        <v>Maria.Okafor@dame.com</v>
      </c>
      <c r="H20" s="2" t="s">
        <v>60</v>
      </c>
      <c r="I20" s="2" t="str">
        <f>PROPER(Abiodun[[#This Row],[Department]])</f>
        <v>Hr</v>
      </c>
      <c r="J20" s="2" t="str">
        <f>UPPER(Abiodun[[#This Row],[Department]])</f>
        <v>HR</v>
      </c>
      <c r="K20" s="2" t="str">
        <f>LOWER(Abiodun[[#This Row],[Department]])</f>
        <v>hr</v>
      </c>
      <c r="L20" s="2" t="s">
        <v>26</v>
      </c>
      <c r="M20" s="2" t="s">
        <v>27</v>
      </c>
      <c r="N20" s="4">
        <v>282557</v>
      </c>
      <c r="O20" s="2">
        <v>9</v>
      </c>
      <c r="P20" s="5" t="s">
        <v>37</v>
      </c>
    </row>
    <row r="21" spans="1:16">
      <c r="A21" s="1" t="s">
        <v>79</v>
      </c>
      <c r="B21" s="1">
        <f>LEN(Abiodun[[#This Row],[Trimmed Full Name]])</f>
        <v>9</v>
      </c>
      <c r="C21" s="2" t="s">
        <v>49</v>
      </c>
      <c r="D21" s="2" t="str">
        <f>TRIM(Abiodun[[#This Row],[Full Name]])</f>
        <v>James Obi</v>
      </c>
      <c r="E21" s="3" t="s">
        <v>50</v>
      </c>
      <c r="F21" s="3" t="s">
        <v>51</v>
      </c>
      <c r="G21" s="3" t="str">
        <f>_xlfn.CONCAT(Abiodun[[#This Row],[First Name]],".",Abiodun[[#This Row],[Last Name]],"@dame.com")</f>
        <v>James.Obi@dame.com</v>
      </c>
      <c r="H21" s="2" t="s">
        <v>60</v>
      </c>
      <c r="I21" s="2" t="str">
        <f>PROPER(Abiodun[[#This Row],[Department]])</f>
        <v>Hr</v>
      </c>
      <c r="J21" s="2" t="str">
        <f>UPPER(Abiodun[[#This Row],[Department]])</f>
        <v>HR</v>
      </c>
      <c r="K21" s="2" t="str">
        <f>LOWER(Abiodun[[#This Row],[Department]])</f>
        <v>hr</v>
      </c>
      <c r="L21" s="2" t="s">
        <v>80</v>
      </c>
      <c r="M21" s="2" t="s">
        <v>22</v>
      </c>
      <c r="N21" s="4">
        <v>330692</v>
      </c>
      <c r="O21" s="2">
        <v>10</v>
      </c>
      <c r="P21" s="5" t="s">
        <v>42</v>
      </c>
    </row>
    <row r="22" spans="1:16">
      <c r="A22" s="1" t="s">
        <v>81</v>
      </c>
      <c r="B22" s="1">
        <f>LEN(Abiodun[[#This Row],[Trimmed Full Name]])</f>
        <v>10</v>
      </c>
      <c r="C22" s="2" t="s">
        <v>64</v>
      </c>
      <c r="D22" s="2" t="str">
        <f>TRIM(Abiodun[[#This Row],[Full Name]])</f>
        <v>Chika Umeh</v>
      </c>
      <c r="E22" s="3" t="s">
        <v>65</v>
      </c>
      <c r="F22" s="3" t="s">
        <v>66</v>
      </c>
      <c r="G22" s="3" t="str">
        <f>_xlfn.CONCAT(Abiodun[[#This Row],[First Name]],".",Abiodun[[#This Row],[Last Name]],"@dame.com")</f>
        <v>Chika.Umeh@dame.com</v>
      </c>
      <c r="H22" s="2" t="s">
        <v>35</v>
      </c>
      <c r="I22" s="2" t="str">
        <f>PROPER(Abiodun[[#This Row],[Department]])</f>
        <v>Finance</v>
      </c>
      <c r="J22" s="2" t="str">
        <f>UPPER(Abiodun[[#This Row],[Department]])</f>
        <v>FINANCE</v>
      </c>
      <c r="K22" s="2" t="str">
        <f>LOWER(Abiodun[[#This Row],[Department]])</f>
        <v>finance</v>
      </c>
      <c r="L22" s="2" t="s">
        <v>36</v>
      </c>
      <c r="M22" s="2" t="s">
        <v>22</v>
      </c>
      <c r="N22" s="4">
        <v>334719</v>
      </c>
      <c r="O22" s="2">
        <v>4</v>
      </c>
      <c r="P22" s="5" t="s">
        <v>23</v>
      </c>
    </row>
    <row r="23" spans="1:16">
      <c r="A23" s="1" t="s">
        <v>82</v>
      </c>
      <c r="B23" s="1">
        <f>LEN(Abiodun[[#This Row],[Trimmed Full Name]])</f>
        <v>11</v>
      </c>
      <c r="C23" s="2" t="s">
        <v>17</v>
      </c>
      <c r="D23" s="2" t="str">
        <f>TRIM(Abiodun[[#This Row],[Full Name]])</f>
        <v>Sade Bassey</v>
      </c>
      <c r="E23" s="3" t="s">
        <v>18</v>
      </c>
      <c r="F23" s="3" t="s">
        <v>19</v>
      </c>
      <c r="G23" s="3" t="str">
        <f>_xlfn.CONCAT(Abiodun[[#This Row],[First Name]],".",Abiodun[[#This Row],[Last Name]],"@dame.com")</f>
        <v>Sade.Bassey@dame.com</v>
      </c>
      <c r="H23" s="2" t="s">
        <v>33</v>
      </c>
      <c r="I23" s="2" t="str">
        <f>PROPER(Abiodun[[#This Row],[Department]])</f>
        <v>Sales</v>
      </c>
      <c r="J23" s="2" t="str">
        <f>UPPER(Abiodun[[#This Row],[Department]])</f>
        <v>SALES</v>
      </c>
      <c r="K23" s="2" t="str">
        <f>LOWER(Abiodun[[#This Row],[Department]])</f>
        <v>sales</v>
      </c>
      <c r="L23" s="2" t="s">
        <v>83</v>
      </c>
      <c r="M23" s="2" t="s">
        <v>27</v>
      </c>
      <c r="N23" s="4">
        <v>237212</v>
      </c>
      <c r="O23" s="2">
        <v>5</v>
      </c>
      <c r="P23" s="5" t="s">
        <v>42</v>
      </c>
    </row>
    <row r="24" spans="1:16">
      <c r="A24" s="1" t="s">
        <v>84</v>
      </c>
      <c r="B24" s="1">
        <f>LEN(Abiodun[[#This Row],[Trimmed Full Name]])</f>
        <v>9</v>
      </c>
      <c r="C24" s="2" t="s">
        <v>30</v>
      </c>
      <c r="D24" s="2" t="str">
        <f>TRIM(Abiodun[[#This Row],[Full Name]])</f>
        <v>Faith Udo</v>
      </c>
      <c r="E24" s="3" t="s">
        <v>31</v>
      </c>
      <c r="F24" s="3" t="s">
        <v>32</v>
      </c>
      <c r="G24" s="3" t="str">
        <f>_xlfn.CONCAT(Abiodun[[#This Row],[First Name]],".",Abiodun[[#This Row],[Last Name]],"@dame.com")</f>
        <v>Faith.Udo@dame.com</v>
      </c>
      <c r="H24" s="2" t="s">
        <v>35</v>
      </c>
      <c r="I24" s="2" t="str">
        <f>PROPER(Abiodun[[#This Row],[Department]])</f>
        <v>Finance</v>
      </c>
      <c r="J24" s="2" t="str">
        <f>UPPER(Abiodun[[#This Row],[Department]])</f>
        <v>FINANCE</v>
      </c>
      <c r="K24" s="2" t="str">
        <f>LOWER(Abiodun[[#This Row],[Department]])</f>
        <v>finance</v>
      </c>
      <c r="L24" s="2" t="s">
        <v>47</v>
      </c>
      <c r="M24" s="2" t="s">
        <v>27</v>
      </c>
      <c r="N24" s="4">
        <v>382250</v>
      </c>
      <c r="O24" s="2">
        <v>1</v>
      </c>
      <c r="P24" s="5" t="s">
        <v>42</v>
      </c>
    </row>
    <row r="25" spans="1:16">
      <c r="A25" s="1" t="s">
        <v>85</v>
      </c>
      <c r="B25" s="1">
        <f>LEN(Abiodun[[#This Row],[Trimmed Full Name]])</f>
        <v>8</v>
      </c>
      <c r="C25" s="2" t="s">
        <v>57</v>
      </c>
      <c r="D25" s="2" t="str">
        <f>TRIM(Abiodun[[#This Row],[Full Name]])</f>
        <v>Tope Ade</v>
      </c>
      <c r="E25" s="3" t="s">
        <v>58</v>
      </c>
      <c r="F25" s="3" t="s">
        <v>59</v>
      </c>
      <c r="G25" s="3" t="str">
        <f>_xlfn.CONCAT(Abiodun[[#This Row],[First Name]],".",Abiodun[[#This Row],[Last Name]],"@dame.com")</f>
        <v>Tope.Ade@dame.com</v>
      </c>
      <c r="H25" s="2" t="s">
        <v>20</v>
      </c>
      <c r="I25" s="2" t="str">
        <f>PROPER(Abiodun[[#This Row],[Department]])</f>
        <v>It</v>
      </c>
      <c r="J25" s="2" t="str">
        <f>UPPER(Abiodun[[#This Row],[Department]])</f>
        <v>IT</v>
      </c>
      <c r="K25" s="2" t="str">
        <f>LOWER(Abiodun[[#This Row],[Department]])</f>
        <v>it</v>
      </c>
      <c r="L25" s="2" t="s">
        <v>67</v>
      </c>
      <c r="M25" s="2" t="s">
        <v>27</v>
      </c>
      <c r="N25" s="4">
        <v>422408</v>
      </c>
      <c r="O25" s="2">
        <v>9</v>
      </c>
      <c r="P25" s="5" t="s">
        <v>42</v>
      </c>
    </row>
    <row r="26" spans="1:16">
      <c r="A26" s="1" t="s">
        <v>86</v>
      </c>
      <c r="B26" s="1">
        <f>LEN(Abiodun[[#This Row],[Trimmed Full Name]])</f>
        <v>11</v>
      </c>
      <c r="C26" s="2" t="s">
        <v>87</v>
      </c>
      <c r="D26" s="2" t="str">
        <f>TRIM(Abiodun[[#This Row],[Full Name]])</f>
        <v>Ngozi Bello</v>
      </c>
      <c r="E26" s="3" t="s">
        <v>88</v>
      </c>
      <c r="F26" s="3" t="s">
        <v>89</v>
      </c>
      <c r="G26" s="3" t="str">
        <f>_xlfn.CONCAT(Abiodun[[#This Row],[First Name]],".",Abiodun[[#This Row],[Last Name]],"@dame.com")</f>
        <v>Ngozi.Bello@dame.com</v>
      </c>
      <c r="H26" s="2" t="s">
        <v>60</v>
      </c>
      <c r="I26" s="2" t="str">
        <f>PROPER(Abiodun[[#This Row],[Department]])</f>
        <v>Hr</v>
      </c>
      <c r="J26" s="2" t="str">
        <f>UPPER(Abiodun[[#This Row],[Department]])</f>
        <v>HR</v>
      </c>
      <c r="K26" s="2" t="str">
        <f>LOWER(Abiodun[[#This Row],[Department]])</f>
        <v>hr</v>
      </c>
      <c r="L26" s="2" t="s">
        <v>70</v>
      </c>
      <c r="M26" s="2" t="s">
        <v>22</v>
      </c>
      <c r="N26" s="4">
        <v>291740</v>
      </c>
      <c r="O26" s="2">
        <v>1</v>
      </c>
      <c r="P26" s="5" t="s">
        <v>42</v>
      </c>
    </row>
    <row r="27" spans="1:16">
      <c r="A27" s="1" t="s">
        <v>90</v>
      </c>
      <c r="B27" s="1">
        <f>LEN(Abiodun[[#This Row],[Trimmed Full Name]])</f>
        <v>9</v>
      </c>
      <c r="C27" s="2" t="s">
        <v>30</v>
      </c>
      <c r="D27" s="2" t="str">
        <f>TRIM(Abiodun[[#This Row],[Full Name]])</f>
        <v>Faith Udo</v>
      </c>
      <c r="E27" s="3" t="s">
        <v>31</v>
      </c>
      <c r="F27" s="3" t="s">
        <v>32</v>
      </c>
      <c r="G27" s="3" t="str">
        <f>_xlfn.CONCAT(Abiodun[[#This Row],[First Name]],".",Abiodun[[#This Row],[Last Name]],"@dame.com")</f>
        <v>Faith.Udo@dame.com</v>
      </c>
      <c r="H27" s="2" t="s">
        <v>60</v>
      </c>
      <c r="I27" s="2" t="str">
        <f>PROPER(Abiodun[[#This Row],[Department]])</f>
        <v>Hr</v>
      </c>
      <c r="J27" s="2" t="str">
        <f>UPPER(Abiodun[[#This Row],[Department]])</f>
        <v>HR</v>
      </c>
      <c r="K27" s="2" t="str">
        <f>LOWER(Abiodun[[#This Row],[Department]])</f>
        <v>hr</v>
      </c>
      <c r="L27" s="2" t="s">
        <v>83</v>
      </c>
      <c r="M27" s="2" t="s">
        <v>27</v>
      </c>
      <c r="N27" s="4">
        <v>417509</v>
      </c>
      <c r="O27" s="2">
        <v>7</v>
      </c>
      <c r="P27" s="5" t="s">
        <v>53</v>
      </c>
    </row>
    <row r="28" spans="1:16">
      <c r="A28" s="1" t="s">
        <v>91</v>
      </c>
      <c r="B28" s="1">
        <f>LEN(Abiodun[[#This Row],[Trimmed Full Name]])</f>
        <v>9</v>
      </c>
      <c r="C28" s="2" t="s">
        <v>30</v>
      </c>
      <c r="D28" s="2" t="str">
        <f>TRIM(Abiodun[[#This Row],[Full Name]])</f>
        <v>Faith Udo</v>
      </c>
      <c r="E28" s="3" t="s">
        <v>31</v>
      </c>
      <c r="F28" s="3" t="s">
        <v>32</v>
      </c>
      <c r="G28" s="3" t="str">
        <f>_xlfn.CONCAT(Abiodun[[#This Row],[First Name]],".",Abiodun[[#This Row],[Last Name]],"@dame.com")</f>
        <v>Faith.Udo@dame.com</v>
      </c>
      <c r="H28" s="2" t="s">
        <v>33</v>
      </c>
      <c r="I28" s="2" t="str">
        <f>PROPER(Abiodun[[#This Row],[Department]])</f>
        <v>Sales</v>
      </c>
      <c r="J28" s="2" t="str">
        <f>UPPER(Abiodun[[#This Row],[Department]])</f>
        <v>SALES</v>
      </c>
      <c r="K28" s="2" t="str">
        <f>LOWER(Abiodun[[#This Row],[Department]])</f>
        <v>sales</v>
      </c>
      <c r="L28" s="2" t="s">
        <v>26</v>
      </c>
      <c r="M28" s="2" t="s">
        <v>22</v>
      </c>
      <c r="N28" s="4">
        <v>450750</v>
      </c>
      <c r="O28" s="2">
        <v>4</v>
      </c>
      <c r="P28" s="5" t="s">
        <v>23</v>
      </c>
    </row>
    <row r="29" spans="1:16">
      <c r="A29" s="1" t="s">
        <v>92</v>
      </c>
      <c r="B29" s="1">
        <f>LEN(Abiodun[[#This Row],[Trimmed Full Name]])</f>
        <v>8</v>
      </c>
      <c r="C29" s="2" t="s">
        <v>57</v>
      </c>
      <c r="D29" s="2" t="str">
        <f>TRIM(Abiodun[[#This Row],[Full Name]])</f>
        <v>Tope Ade</v>
      </c>
      <c r="E29" s="3" t="s">
        <v>58</v>
      </c>
      <c r="F29" s="3" t="s">
        <v>59</v>
      </c>
      <c r="G29" s="3" t="str">
        <f>_xlfn.CONCAT(Abiodun[[#This Row],[First Name]],".",Abiodun[[#This Row],[Last Name]],"@dame.com")</f>
        <v>Tope.Ade@dame.com</v>
      </c>
      <c r="H29" s="2" t="s">
        <v>60</v>
      </c>
      <c r="I29" s="2" t="str">
        <f>PROPER(Abiodun[[#This Row],[Department]])</f>
        <v>Hr</v>
      </c>
      <c r="J29" s="2" t="str">
        <f>UPPER(Abiodun[[#This Row],[Department]])</f>
        <v>HR</v>
      </c>
      <c r="K29" s="2" t="str">
        <f>LOWER(Abiodun[[#This Row],[Department]])</f>
        <v>hr</v>
      </c>
      <c r="L29" s="2" t="s">
        <v>83</v>
      </c>
      <c r="M29" s="2" t="s">
        <v>22</v>
      </c>
      <c r="N29" s="4">
        <v>281642</v>
      </c>
      <c r="O29" s="2">
        <v>5</v>
      </c>
      <c r="P29" s="5" t="s">
        <v>37</v>
      </c>
    </row>
    <row r="30" spans="1:16">
      <c r="A30" s="1" t="s">
        <v>93</v>
      </c>
      <c r="B30" s="1">
        <f>LEN(Abiodun[[#This Row],[Trimmed Full Name]])</f>
        <v>9</v>
      </c>
      <c r="C30" s="2" t="s">
        <v>49</v>
      </c>
      <c r="D30" s="2" t="str">
        <f>TRIM(Abiodun[[#This Row],[Full Name]])</f>
        <v>James Obi</v>
      </c>
      <c r="E30" s="3" t="s">
        <v>50</v>
      </c>
      <c r="F30" s="3" t="s">
        <v>51</v>
      </c>
      <c r="G30" s="3" t="str">
        <f>_xlfn.CONCAT(Abiodun[[#This Row],[First Name]],".",Abiodun[[#This Row],[Last Name]],"@dame.com")</f>
        <v>James.Obi@dame.com</v>
      </c>
      <c r="H30" s="2" t="s">
        <v>33</v>
      </c>
      <c r="I30" s="2" t="str">
        <f>PROPER(Abiodun[[#This Row],[Department]])</f>
        <v>Sales</v>
      </c>
      <c r="J30" s="2" t="str">
        <f>UPPER(Abiodun[[#This Row],[Department]])</f>
        <v>SALES</v>
      </c>
      <c r="K30" s="2" t="str">
        <f>LOWER(Abiodun[[#This Row],[Department]])</f>
        <v>sales</v>
      </c>
      <c r="L30" s="2" t="s">
        <v>47</v>
      </c>
      <c r="M30" s="2" t="s">
        <v>27</v>
      </c>
      <c r="N30" s="4">
        <v>291645</v>
      </c>
      <c r="O30" s="2">
        <v>10</v>
      </c>
      <c r="P30" s="5" t="s">
        <v>23</v>
      </c>
    </row>
    <row r="31" spans="1:16">
      <c r="A31" s="1" t="s">
        <v>94</v>
      </c>
      <c r="B31" s="1">
        <f>LEN(Abiodun[[#This Row],[Trimmed Full Name]])</f>
        <v>12</v>
      </c>
      <c r="C31" s="2" t="s">
        <v>39</v>
      </c>
      <c r="D31" s="2" t="str">
        <f>TRIM(Abiodun[[#This Row],[Full Name]])</f>
        <v>Ibrahim Musa</v>
      </c>
      <c r="E31" s="3" t="s">
        <v>40</v>
      </c>
      <c r="F31" s="3" t="s">
        <v>41</v>
      </c>
      <c r="G31" s="3" t="str">
        <f>_xlfn.CONCAT(Abiodun[[#This Row],[First Name]],".",Abiodun[[#This Row],[Last Name]],"@dame.com")</f>
        <v>Ibrahim.Musa@dame.com</v>
      </c>
      <c r="H31" s="2" t="s">
        <v>20</v>
      </c>
      <c r="I31" s="2" t="str">
        <f>PROPER(Abiodun[[#This Row],[Department]])</f>
        <v>It</v>
      </c>
      <c r="J31" s="2" t="str">
        <f>UPPER(Abiodun[[#This Row],[Department]])</f>
        <v>IT</v>
      </c>
      <c r="K31" s="2" t="str">
        <f>LOWER(Abiodun[[#This Row],[Department]])</f>
        <v>it</v>
      </c>
      <c r="L31" s="2" t="s">
        <v>47</v>
      </c>
      <c r="M31" s="2" t="s">
        <v>27</v>
      </c>
      <c r="N31" s="4">
        <v>309288</v>
      </c>
      <c r="O31" s="2">
        <v>7</v>
      </c>
      <c r="P31" s="5" t="s">
        <v>42</v>
      </c>
    </row>
    <row r="32" spans="1:16">
      <c r="A32" s="1" t="s">
        <v>95</v>
      </c>
      <c r="B32" s="1">
        <f>LEN(Abiodun[[#This Row],[Trimmed Full Name]])</f>
        <v>12</v>
      </c>
      <c r="C32" s="2" t="s">
        <v>39</v>
      </c>
      <c r="D32" s="2" t="str">
        <f>TRIM(Abiodun[[#This Row],[Full Name]])</f>
        <v>Ibrahim Musa</v>
      </c>
      <c r="E32" s="3" t="s">
        <v>40</v>
      </c>
      <c r="F32" s="3" t="s">
        <v>41</v>
      </c>
      <c r="G32" s="3" t="str">
        <f>_xlfn.CONCAT(Abiodun[[#This Row],[First Name]],".",Abiodun[[#This Row],[Last Name]],"@dame.com")</f>
        <v>Ibrahim.Musa@dame.com</v>
      </c>
      <c r="H32" s="2" t="s">
        <v>60</v>
      </c>
      <c r="I32" s="2" t="str">
        <f>PROPER(Abiodun[[#This Row],[Department]])</f>
        <v>Hr</v>
      </c>
      <c r="J32" s="2" t="str">
        <f>UPPER(Abiodun[[#This Row],[Department]])</f>
        <v>HR</v>
      </c>
      <c r="K32" s="2" t="str">
        <f>LOWER(Abiodun[[#This Row],[Department]])</f>
        <v>hr</v>
      </c>
      <c r="L32" s="2" t="s">
        <v>26</v>
      </c>
      <c r="M32" s="2" t="s">
        <v>22</v>
      </c>
      <c r="N32" s="4">
        <v>271687</v>
      </c>
      <c r="O32" s="2">
        <v>10</v>
      </c>
      <c r="P32" s="5" t="s">
        <v>42</v>
      </c>
    </row>
    <row r="33" spans="1:16">
      <c r="A33" s="1" t="s">
        <v>96</v>
      </c>
      <c r="B33" s="1">
        <f>LEN(Abiodun[[#This Row],[Trimmed Full Name]])</f>
        <v>9</v>
      </c>
      <c r="C33" s="2" t="s">
        <v>30</v>
      </c>
      <c r="D33" s="2" t="str">
        <f>TRIM(Abiodun[[#This Row],[Full Name]])</f>
        <v>Faith Udo</v>
      </c>
      <c r="E33" s="3" t="s">
        <v>31</v>
      </c>
      <c r="F33" s="3" t="s">
        <v>32</v>
      </c>
      <c r="G33" s="3" t="str">
        <f>_xlfn.CONCAT(Abiodun[[#This Row],[First Name]],".",Abiodun[[#This Row],[Last Name]],"@dame.com")</f>
        <v>Faith.Udo@dame.com</v>
      </c>
      <c r="H33" s="2" t="s">
        <v>20</v>
      </c>
      <c r="I33" s="2" t="str">
        <f>PROPER(Abiodun[[#This Row],[Department]])</f>
        <v>It</v>
      </c>
      <c r="J33" s="2" t="str">
        <f>UPPER(Abiodun[[#This Row],[Department]])</f>
        <v>IT</v>
      </c>
      <c r="K33" s="2" t="str">
        <f>LOWER(Abiodun[[#This Row],[Department]])</f>
        <v>it</v>
      </c>
      <c r="L33" s="2" t="s">
        <v>47</v>
      </c>
      <c r="M33" s="2" t="s">
        <v>22</v>
      </c>
      <c r="N33" s="4">
        <v>365101</v>
      </c>
      <c r="O33" s="2">
        <v>9</v>
      </c>
      <c r="P33" s="5" t="s">
        <v>37</v>
      </c>
    </row>
    <row r="34" spans="1:16">
      <c r="A34" s="1" t="s">
        <v>97</v>
      </c>
      <c r="B34" s="1">
        <f>LEN(Abiodun[[#This Row],[Trimmed Full Name]])</f>
        <v>11</v>
      </c>
      <c r="C34" s="2" t="s">
        <v>87</v>
      </c>
      <c r="D34" s="2" t="str">
        <f>TRIM(Abiodun[[#This Row],[Full Name]])</f>
        <v>Ngozi Bello</v>
      </c>
      <c r="E34" s="3" t="s">
        <v>88</v>
      </c>
      <c r="F34" s="3" t="s">
        <v>89</v>
      </c>
      <c r="G34" s="3" t="str">
        <f>_xlfn.CONCAT(Abiodun[[#This Row],[First Name]],".",Abiodun[[#This Row],[Last Name]],"@dame.com")</f>
        <v>Ngozi.Bello@dame.com</v>
      </c>
      <c r="H34" s="2" t="s">
        <v>20</v>
      </c>
      <c r="I34" s="2" t="str">
        <f>PROPER(Abiodun[[#This Row],[Department]])</f>
        <v>It</v>
      </c>
      <c r="J34" s="2" t="str">
        <f>UPPER(Abiodun[[#This Row],[Department]])</f>
        <v>IT</v>
      </c>
      <c r="K34" s="2" t="str">
        <f>LOWER(Abiodun[[#This Row],[Department]])</f>
        <v>it</v>
      </c>
      <c r="L34" s="2" t="s">
        <v>83</v>
      </c>
      <c r="M34" s="2" t="s">
        <v>22</v>
      </c>
      <c r="N34" s="4">
        <v>472149</v>
      </c>
      <c r="O34" s="2">
        <v>7</v>
      </c>
      <c r="P34" s="5" t="s">
        <v>53</v>
      </c>
    </row>
    <row r="35" spans="1:16">
      <c r="A35" s="1" t="s">
        <v>98</v>
      </c>
      <c r="B35" s="1">
        <f>LEN(Abiodun[[#This Row],[Trimmed Full Name]])</f>
        <v>12</v>
      </c>
      <c r="C35" s="2" t="s">
        <v>39</v>
      </c>
      <c r="D35" s="2" t="str">
        <f>TRIM(Abiodun[[#This Row],[Full Name]])</f>
        <v>Ibrahim Musa</v>
      </c>
      <c r="E35" s="3" t="s">
        <v>40</v>
      </c>
      <c r="F35" s="3" t="s">
        <v>41</v>
      </c>
      <c r="G35" s="3" t="str">
        <f>_xlfn.CONCAT(Abiodun[[#This Row],[First Name]],".",Abiodun[[#This Row],[Last Name]],"@dame.com")</f>
        <v>Ibrahim.Musa@dame.com</v>
      </c>
      <c r="H35" s="2" t="s">
        <v>33</v>
      </c>
      <c r="I35" s="2" t="str">
        <f>PROPER(Abiodun[[#This Row],[Department]])</f>
        <v>Sales</v>
      </c>
      <c r="J35" s="2" t="str">
        <f>UPPER(Abiodun[[#This Row],[Department]])</f>
        <v>SALES</v>
      </c>
      <c r="K35" s="2" t="str">
        <f>LOWER(Abiodun[[#This Row],[Department]])</f>
        <v>sales</v>
      </c>
      <c r="L35" s="2" t="s">
        <v>83</v>
      </c>
      <c r="M35" s="2" t="s">
        <v>22</v>
      </c>
      <c r="N35" s="4">
        <v>408551</v>
      </c>
      <c r="O35" s="2">
        <v>7</v>
      </c>
      <c r="P35" s="5" t="s">
        <v>53</v>
      </c>
    </row>
    <row r="36" spans="1:16">
      <c r="A36" s="1" t="s">
        <v>99</v>
      </c>
      <c r="B36" s="1">
        <f>LEN(Abiodun[[#This Row],[Trimmed Full Name]])</f>
        <v>11</v>
      </c>
      <c r="C36" s="2" t="s">
        <v>87</v>
      </c>
      <c r="D36" s="2" t="str">
        <f>TRIM(Abiodun[[#This Row],[Full Name]])</f>
        <v>Ngozi Bello</v>
      </c>
      <c r="E36" s="3" t="s">
        <v>88</v>
      </c>
      <c r="F36" s="3" t="s">
        <v>89</v>
      </c>
      <c r="G36" s="3" t="str">
        <f>_xlfn.CONCAT(Abiodun[[#This Row],[First Name]],".",Abiodun[[#This Row],[Last Name]],"@dame.com")</f>
        <v>Ngozi.Bello@dame.com</v>
      </c>
      <c r="H36" s="2" t="s">
        <v>33</v>
      </c>
      <c r="I36" s="2" t="str">
        <f>PROPER(Abiodun[[#This Row],[Department]])</f>
        <v>Sales</v>
      </c>
      <c r="J36" s="2" t="str">
        <f>UPPER(Abiodun[[#This Row],[Department]])</f>
        <v>SALES</v>
      </c>
      <c r="K36" s="2" t="str">
        <f>LOWER(Abiodun[[#This Row],[Department]])</f>
        <v>sales</v>
      </c>
      <c r="L36" s="2" t="s">
        <v>83</v>
      </c>
      <c r="M36" s="2" t="s">
        <v>27</v>
      </c>
      <c r="N36" s="4">
        <v>334912</v>
      </c>
      <c r="O36" s="2">
        <v>2</v>
      </c>
      <c r="P36" s="5" t="s">
        <v>53</v>
      </c>
    </row>
    <row r="37" spans="1:16">
      <c r="A37" s="1" t="s">
        <v>100</v>
      </c>
      <c r="B37" s="1">
        <f>LEN(Abiodun[[#This Row],[Trimmed Full Name]])</f>
        <v>10</v>
      </c>
      <c r="C37" s="2" t="s">
        <v>64</v>
      </c>
      <c r="D37" s="2" t="str">
        <f>TRIM(Abiodun[[#This Row],[Full Name]])</f>
        <v>Chika Umeh</v>
      </c>
      <c r="E37" s="3" t="s">
        <v>65</v>
      </c>
      <c r="F37" s="3" t="s">
        <v>66</v>
      </c>
      <c r="G37" s="3" t="str">
        <f>_xlfn.CONCAT(Abiodun[[#This Row],[First Name]],".",Abiodun[[#This Row],[Last Name]],"@dame.com")</f>
        <v>Chika.Umeh@dame.com</v>
      </c>
      <c r="H37" s="2" t="s">
        <v>35</v>
      </c>
      <c r="I37" s="2" t="str">
        <f>PROPER(Abiodun[[#This Row],[Department]])</f>
        <v>Finance</v>
      </c>
      <c r="J37" s="2" t="str">
        <f>UPPER(Abiodun[[#This Row],[Department]])</f>
        <v>FINANCE</v>
      </c>
      <c r="K37" s="2" t="str">
        <f>LOWER(Abiodun[[#This Row],[Department]])</f>
        <v>finance</v>
      </c>
      <c r="L37" s="2" t="s">
        <v>36</v>
      </c>
      <c r="M37" s="2" t="s">
        <v>27</v>
      </c>
      <c r="N37" s="4">
        <v>311844</v>
      </c>
      <c r="O37" s="2">
        <v>8</v>
      </c>
      <c r="P37" s="5" t="s">
        <v>37</v>
      </c>
    </row>
    <row r="38" spans="1:16">
      <c r="A38" s="1" t="s">
        <v>101</v>
      </c>
      <c r="B38" s="1">
        <f>LEN(Abiodun[[#This Row],[Trimmed Full Name]])</f>
        <v>8</v>
      </c>
      <c r="C38" s="2" t="s">
        <v>57</v>
      </c>
      <c r="D38" s="2" t="str">
        <f>TRIM(Abiodun[[#This Row],[Full Name]])</f>
        <v>Tope Ade</v>
      </c>
      <c r="E38" s="3" t="s">
        <v>58</v>
      </c>
      <c r="F38" s="3" t="s">
        <v>59</v>
      </c>
      <c r="G38" s="3" t="str">
        <f>_xlfn.CONCAT(Abiodun[[#This Row],[First Name]],".",Abiodun[[#This Row],[Last Name]],"@dame.com")</f>
        <v>Tope.Ade@dame.com</v>
      </c>
      <c r="H38" s="2" t="s">
        <v>25</v>
      </c>
      <c r="I38" s="2" t="str">
        <f>PROPER(Abiodun[[#This Row],[Department]])</f>
        <v>Marketing</v>
      </c>
      <c r="J38" s="2" t="str">
        <f>UPPER(Abiodun[[#This Row],[Department]])</f>
        <v>MARKETING</v>
      </c>
      <c r="K38" s="2" t="str">
        <f>LOWER(Abiodun[[#This Row],[Department]])</f>
        <v>marketing</v>
      </c>
      <c r="L38" s="2" t="s">
        <v>21</v>
      </c>
      <c r="M38" s="2" t="s">
        <v>27</v>
      </c>
      <c r="N38" s="4">
        <v>222804</v>
      </c>
      <c r="O38" s="2">
        <v>8</v>
      </c>
      <c r="P38" s="5" t="s">
        <v>37</v>
      </c>
    </row>
    <row r="39" spans="1:16">
      <c r="A39" s="1" t="s">
        <v>102</v>
      </c>
      <c r="B39" s="1">
        <f>LEN(Abiodun[[#This Row],[Trimmed Full Name]])</f>
        <v>11</v>
      </c>
      <c r="C39" s="2" t="s">
        <v>17</v>
      </c>
      <c r="D39" s="2" t="str">
        <f>TRIM(Abiodun[[#This Row],[Full Name]])</f>
        <v>Sade Bassey</v>
      </c>
      <c r="E39" s="3" t="s">
        <v>18</v>
      </c>
      <c r="F39" s="3" t="s">
        <v>19</v>
      </c>
      <c r="G39" s="3" t="str">
        <f>_xlfn.CONCAT(Abiodun[[#This Row],[First Name]],".",Abiodun[[#This Row],[Last Name]],"@dame.com")</f>
        <v>Sade.Bassey@dame.com</v>
      </c>
      <c r="H39" s="2" t="s">
        <v>35</v>
      </c>
      <c r="I39" s="2" t="str">
        <f>PROPER(Abiodun[[#This Row],[Department]])</f>
        <v>Finance</v>
      </c>
      <c r="J39" s="2" t="str">
        <f>UPPER(Abiodun[[#This Row],[Department]])</f>
        <v>FINANCE</v>
      </c>
      <c r="K39" s="2" t="str">
        <f>LOWER(Abiodun[[#This Row],[Department]])</f>
        <v>finance</v>
      </c>
      <c r="L39" s="2" t="s">
        <v>70</v>
      </c>
      <c r="M39" s="2" t="s">
        <v>22</v>
      </c>
      <c r="N39" s="4">
        <v>202674</v>
      </c>
      <c r="O39" s="2">
        <v>4</v>
      </c>
      <c r="P39" s="5" t="s">
        <v>23</v>
      </c>
    </row>
    <row r="40" spans="1:16">
      <c r="A40" s="1" t="s">
        <v>103</v>
      </c>
      <c r="B40" s="1">
        <f>LEN(Abiodun[[#This Row],[Trimmed Full Name]])</f>
        <v>11</v>
      </c>
      <c r="C40" s="2" t="s">
        <v>17</v>
      </c>
      <c r="D40" s="2" t="str">
        <f>TRIM(Abiodun[[#This Row],[Full Name]])</f>
        <v>Sade Bassey</v>
      </c>
      <c r="E40" s="3" t="s">
        <v>18</v>
      </c>
      <c r="F40" s="3" t="s">
        <v>19</v>
      </c>
      <c r="G40" s="3" t="str">
        <f>_xlfn.CONCAT(Abiodun[[#This Row],[First Name]],".",Abiodun[[#This Row],[Last Name]],"@dame.com")</f>
        <v>Sade.Bassey@dame.com</v>
      </c>
      <c r="H40" s="2" t="s">
        <v>20</v>
      </c>
      <c r="I40" s="2" t="str">
        <f>PROPER(Abiodun[[#This Row],[Department]])</f>
        <v>It</v>
      </c>
      <c r="J40" s="2" t="str">
        <f>UPPER(Abiodun[[#This Row],[Department]])</f>
        <v>IT</v>
      </c>
      <c r="K40" s="2" t="str">
        <f>LOWER(Abiodun[[#This Row],[Department]])</f>
        <v>it</v>
      </c>
      <c r="L40" s="2" t="s">
        <v>67</v>
      </c>
      <c r="M40" s="2" t="s">
        <v>22</v>
      </c>
      <c r="N40" s="4">
        <v>481535</v>
      </c>
      <c r="O40" s="2">
        <v>10</v>
      </c>
      <c r="P40" s="5" t="s">
        <v>37</v>
      </c>
    </row>
    <row r="41" spans="1:16">
      <c r="A41" s="1" t="s">
        <v>104</v>
      </c>
      <c r="B41" s="1">
        <f>LEN(Abiodun[[#This Row],[Trimmed Full Name]])</f>
        <v>9</v>
      </c>
      <c r="C41" s="2" t="s">
        <v>49</v>
      </c>
      <c r="D41" s="2" t="str">
        <f>TRIM(Abiodun[[#This Row],[Full Name]])</f>
        <v>James Obi</v>
      </c>
      <c r="E41" s="3" t="s">
        <v>50</v>
      </c>
      <c r="F41" s="3" t="s">
        <v>51</v>
      </c>
      <c r="G41" s="3" t="str">
        <f>_xlfn.CONCAT(Abiodun[[#This Row],[First Name]],".",Abiodun[[#This Row],[Last Name]],"@dame.com")</f>
        <v>James.Obi@dame.com</v>
      </c>
      <c r="H41" s="2" t="s">
        <v>35</v>
      </c>
      <c r="I41" s="2" t="str">
        <f>PROPER(Abiodun[[#This Row],[Department]])</f>
        <v>Finance</v>
      </c>
      <c r="J41" s="2" t="str">
        <f>UPPER(Abiodun[[#This Row],[Department]])</f>
        <v>FINANCE</v>
      </c>
      <c r="K41" s="2" t="str">
        <f>LOWER(Abiodun[[#This Row],[Department]])</f>
        <v>finance</v>
      </c>
      <c r="L41" s="2" t="s">
        <v>36</v>
      </c>
      <c r="M41" s="2" t="s">
        <v>27</v>
      </c>
      <c r="N41" s="4">
        <v>338509</v>
      </c>
      <c r="O41" s="2">
        <v>1</v>
      </c>
      <c r="P41" s="5" t="s">
        <v>42</v>
      </c>
    </row>
    <row r="42" spans="1:16">
      <c r="A42" s="1" t="s">
        <v>105</v>
      </c>
      <c r="B42" s="1">
        <f>LEN(Abiodun[[#This Row],[Trimmed Full Name]])</f>
        <v>11</v>
      </c>
      <c r="C42" s="2" t="s">
        <v>17</v>
      </c>
      <c r="D42" s="2" t="str">
        <f>TRIM(Abiodun[[#This Row],[Full Name]])</f>
        <v>Sade Bassey</v>
      </c>
      <c r="E42" s="3" t="s">
        <v>18</v>
      </c>
      <c r="F42" s="3" t="s">
        <v>19</v>
      </c>
      <c r="G42" s="3" t="str">
        <f>_xlfn.CONCAT(Abiodun[[#This Row],[First Name]],".",Abiodun[[#This Row],[Last Name]],"@dame.com")</f>
        <v>Sade.Bassey@dame.com</v>
      </c>
      <c r="H42" s="2" t="s">
        <v>33</v>
      </c>
      <c r="I42" s="2" t="str">
        <f>PROPER(Abiodun[[#This Row],[Department]])</f>
        <v>Sales</v>
      </c>
      <c r="J42" s="2" t="str">
        <f>UPPER(Abiodun[[#This Row],[Department]])</f>
        <v>SALES</v>
      </c>
      <c r="K42" s="2" t="str">
        <f>LOWER(Abiodun[[#This Row],[Department]])</f>
        <v>sales</v>
      </c>
      <c r="L42" s="2" t="s">
        <v>36</v>
      </c>
      <c r="M42" s="2" t="s">
        <v>22</v>
      </c>
      <c r="N42" s="4">
        <v>234031</v>
      </c>
      <c r="O42" s="2">
        <v>10</v>
      </c>
      <c r="P42" s="5" t="s">
        <v>28</v>
      </c>
    </row>
    <row r="43" spans="1:16">
      <c r="A43" s="1" t="s">
        <v>106</v>
      </c>
      <c r="B43" s="1">
        <f>LEN(Abiodun[[#This Row],[Trimmed Full Name]])</f>
        <v>9</v>
      </c>
      <c r="C43" s="2" t="s">
        <v>30</v>
      </c>
      <c r="D43" s="2" t="str">
        <f>TRIM(Abiodun[[#This Row],[Full Name]])</f>
        <v>Faith Udo</v>
      </c>
      <c r="E43" s="3" t="s">
        <v>31</v>
      </c>
      <c r="F43" s="3" t="s">
        <v>32</v>
      </c>
      <c r="G43" s="3" t="str">
        <f>_xlfn.CONCAT(Abiodun[[#This Row],[First Name]],".",Abiodun[[#This Row],[Last Name]],"@dame.com")</f>
        <v>Faith.Udo@dame.com</v>
      </c>
      <c r="H43" s="2" t="s">
        <v>33</v>
      </c>
      <c r="I43" s="2" t="str">
        <f>PROPER(Abiodun[[#This Row],[Department]])</f>
        <v>Sales</v>
      </c>
      <c r="J43" s="2" t="str">
        <f>UPPER(Abiodun[[#This Row],[Department]])</f>
        <v>SALES</v>
      </c>
      <c r="K43" s="2" t="str">
        <f>LOWER(Abiodun[[#This Row],[Department]])</f>
        <v>sales</v>
      </c>
      <c r="L43" s="2" t="s">
        <v>47</v>
      </c>
      <c r="M43" s="2" t="s">
        <v>27</v>
      </c>
      <c r="N43" s="4">
        <v>265908</v>
      </c>
      <c r="O43" s="2">
        <v>7</v>
      </c>
      <c r="P43" s="5" t="s">
        <v>28</v>
      </c>
    </row>
    <row r="44" spans="1:16">
      <c r="A44" s="1" t="s">
        <v>107</v>
      </c>
      <c r="B44" s="1">
        <f>LEN(Abiodun[[#This Row],[Trimmed Full Name]])</f>
        <v>10</v>
      </c>
      <c r="C44" s="2" t="s">
        <v>64</v>
      </c>
      <c r="D44" s="2" t="str">
        <f>TRIM(Abiodun[[#This Row],[Full Name]])</f>
        <v>Chika Umeh</v>
      </c>
      <c r="E44" s="3" t="s">
        <v>65</v>
      </c>
      <c r="F44" s="3" t="s">
        <v>66</v>
      </c>
      <c r="G44" s="3" t="str">
        <f>_xlfn.CONCAT(Abiodun[[#This Row],[First Name]],".",Abiodun[[#This Row],[Last Name]],"@dame.com")</f>
        <v>Chika.Umeh@dame.com</v>
      </c>
      <c r="H44" s="2" t="s">
        <v>20</v>
      </c>
      <c r="I44" s="2" t="str">
        <f>PROPER(Abiodun[[#This Row],[Department]])</f>
        <v>It</v>
      </c>
      <c r="J44" s="2" t="str">
        <f>UPPER(Abiodun[[#This Row],[Department]])</f>
        <v>IT</v>
      </c>
      <c r="K44" s="2" t="str">
        <f>LOWER(Abiodun[[#This Row],[Department]])</f>
        <v>it</v>
      </c>
      <c r="L44" s="2" t="s">
        <v>21</v>
      </c>
      <c r="M44" s="2" t="s">
        <v>27</v>
      </c>
      <c r="N44" s="4">
        <v>338554</v>
      </c>
      <c r="O44" s="2">
        <v>1</v>
      </c>
      <c r="P44" s="5" t="s">
        <v>28</v>
      </c>
    </row>
    <row r="45" spans="1:16">
      <c r="A45" s="1" t="s">
        <v>108</v>
      </c>
      <c r="B45" s="1">
        <f>LEN(Abiodun[[#This Row],[Trimmed Full Name]])</f>
        <v>9</v>
      </c>
      <c r="C45" s="2" t="s">
        <v>30</v>
      </c>
      <c r="D45" s="2" t="str">
        <f>TRIM(Abiodun[[#This Row],[Full Name]])</f>
        <v>Faith Udo</v>
      </c>
      <c r="E45" s="3" t="s">
        <v>31</v>
      </c>
      <c r="F45" s="3" t="s">
        <v>32</v>
      </c>
      <c r="G45" s="3" t="str">
        <f>_xlfn.CONCAT(Abiodun[[#This Row],[First Name]],".",Abiodun[[#This Row],[Last Name]],"@dame.com")</f>
        <v>Faith.Udo@dame.com</v>
      </c>
      <c r="H45" s="2" t="s">
        <v>25</v>
      </c>
      <c r="I45" s="2" t="str">
        <f>PROPER(Abiodun[[#This Row],[Department]])</f>
        <v>Marketing</v>
      </c>
      <c r="J45" s="2" t="str">
        <f>UPPER(Abiodun[[#This Row],[Department]])</f>
        <v>MARKETING</v>
      </c>
      <c r="K45" s="2" t="str">
        <f>LOWER(Abiodun[[#This Row],[Department]])</f>
        <v>marketing</v>
      </c>
      <c r="L45" s="2" t="s">
        <v>70</v>
      </c>
      <c r="M45" s="2" t="s">
        <v>27</v>
      </c>
      <c r="N45" s="4">
        <v>413957</v>
      </c>
      <c r="O45" s="2">
        <v>3</v>
      </c>
      <c r="P45" s="5" t="s">
        <v>42</v>
      </c>
    </row>
    <row r="46" spans="1:16">
      <c r="A46" s="1" t="s">
        <v>109</v>
      </c>
      <c r="B46" s="1">
        <f>LEN(Abiodun[[#This Row],[Trimmed Full Name]])</f>
        <v>11</v>
      </c>
      <c r="C46" s="2" t="s">
        <v>17</v>
      </c>
      <c r="D46" s="2" t="str">
        <f>TRIM(Abiodun[[#This Row],[Full Name]])</f>
        <v>Sade Bassey</v>
      </c>
      <c r="E46" s="3" t="s">
        <v>18</v>
      </c>
      <c r="F46" s="3" t="s">
        <v>19</v>
      </c>
      <c r="G46" s="3" t="str">
        <f>_xlfn.CONCAT(Abiodun[[#This Row],[First Name]],".",Abiodun[[#This Row],[Last Name]],"@dame.com")</f>
        <v>Sade.Bassey@dame.com</v>
      </c>
      <c r="H46" s="2" t="s">
        <v>60</v>
      </c>
      <c r="I46" s="2" t="str">
        <f>PROPER(Abiodun[[#This Row],[Department]])</f>
        <v>Hr</v>
      </c>
      <c r="J46" s="2" t="str">
        <f>UPPER(Abiodun[[#This Row],[Department]])</f>
        <v>HR</v>
      </c>
      <c r="K46" s="2" t="str">
        <f>LOWER(Abiodun[[#This Row],[Department]])</f>
        <v>hr</v>
      </c>
      <c r="L46" s="2" t="s">
        <v>21</v>
      </c>
      <c r="M46" s="2" t="s">
        <v>22</v>
      </c>
      <c r="N46" s="4">
        <v>485264</v>
      </c>
      <c r="O46" s="2">
        <v>1</v>
      </c>
      <c r="P46" s="5" t="s">
        <v>37</v>
      </c>
    </row>
    <row r="47" spans="1:16">
      <c r="A47" s="1" t="s">
        <v>110</v>
      </c>
      <c r="B47" s="1">
        <f>LEN(Abiodun[[#This Row],[Trimmed Full Name]])</f>
        <v>10</v>
      </c>
      <c r="C47" s="2" t="s">
        <v>64</v>
      </c>
      <c r="D47" s="2" t="str">
        <f>TRIM(Abiodun[[#This Row],[Full Name]])</f>
        <v>Chika Umeh</v>
      </c>
      <c r="E47" s="3" t="s">
        <v>65</v>
      </c>
      <c r="F47" s="3" t="s">
        <v>66</v>
      </c>
      <c r="G47" s="3" t="str">
        <f>_xlfn.CONCAT(Abiodun[[#This Row],[First Name]],".",Abiodun[[#This Row],[Last Name]],"@dame.com")</f>
        <v>Chika.Umeh@dame.com</v>
      </c>
      <c r="H47" s="2" t="s">
        <v>33</v>
      </c>
      <c r="I47" s="2" t="str">
        <f>PROPER(Abiodun[[#This Row],[Department]])</f>
        <v>Sales</v>
      </c>
      <c r="J47" s="2" t="str">
        <f>UPPER(Abiodun[[#This Row],[Department]])</f>
        <v>SALES</v>
      </c>
      <c r="K47" s="2" t="str">
        <f>LOWER(Abiodun[[#This Row],[Department]])</f>
        <v>sales</v>
      </c>
      <c r="L47" s="2" t="s">
        <v>70</v>
      </c>
      <c r="M47" s="2" t="s">
        <v>22</v>
      </c>
      <c r="N47" s="4">
        <v>363350</v>
      </c>
      <c r="O47" s="2">
        <v>1</v>
      </c>
      <c r="P47" s="5" t="s">
        <v>28</v>
      </c>
    </row>
    <row r="48" spans="1:16">
      <c r="A48" s="1" t="s">
        <v>111</v>
      </c>
      <c r="B48" s="1">
        <f>LEN(Abiodun[[#This Row],[Trimmed Full Name]])</f>
        <v>12</v>
      </c>
      <c r="C48" s="2" t="s">
        <v>44</v>
      </c>
      <c r="D48" s="2" t="str">
        <f>TRIM(Abiodun[[#This Row],[Full Name]])</f>
        <v>Tunde Salisu</v>
      </c>
      <c r="E48" s="3" t="s">
        <v>45</v>
      </c>
      <c r="F48" s="3" t="s">
        <v>46</v>
      </c>
      <c r="G48" s="3" t="str">
        <f>_xlfn.CONCAT(Abiodun[[#This Row],[First Name]],".",Abiodun[[#This Row],[Last Name]],"@dame.com")</f>
        <v>Tunde.Salisu@dame.com</v>
      </c>
      <c r="H48" s="2" t="s">
        <v>60</v>
      </c>
      <c r="I48" s="2" t="str">
        <f>PROPER(Abiodun[[#This Row],[Department]])</f>
        <v>Hr</v>
      </c>
      <c r="J48" s="2" t="str">
        <f>UPPER(Abiodun[[#This Row],[Department]])</f>
        <v>HR</v>
      </c>
      <c r="K48" s="2" t="str">
        <f>LOWER(Abiodun[[#This Row],[Department]])</f>
        <v>hr</v>
      </c>
      <c r="L48" s="2" t="s">
        <v>26</v>
      </c>
      <c r="M48" s="2" t="s">
        <v>22</v>
      </c>
      <c r="N48" s="4">
        <v>428005</v>
      </c>
      <c r="O48" s="2">
        <v>4</v>
      </c>
      <c r="P48" s="5" t="s">
        <v>37</v>
      </c>
    </row>
    <row r="49" spans="1:16">
      <c r="A49" s="1" t="s">
        <v>112</v>
      </c>
      <c r="B49" s="1">
        <f>LEN(Abiodun[[#This Row],[Trimmed Full Name]])</f>
        <v>10</v>
      </c>
      <c r="C49" s="2" t="s">
        <v>113</v>
      </c>
      <c r="D49" s="2" t="str">
        <f>TRIM(Abiodun[[#This Row],[Full Name]])</f>
        <v>Emeka John</v>
      </c>
      <c r="E49" s="3" t="s">
        <v>114</v>
      </c>
      <c r="F49" s="3" t="s">
        <v>115</v>
      </c>
      <c r="G49" s="3" t="str">
        <f>_xlfn.CONCAT(Abiodun[[#This Row],[First Name]],".",Abiodun[[#This Row],[Last Name]],"@dame.com")</f>
        <v>Emeka.John@dame.com</v>
      </c>
      <c r="H49" s="2" t="s">
        <v>60</v>
      </c>
      <c r="I49" s="2" t="str">
        <f>PROPER(Abiodun[[#This Row],[Department]])</f>
        <v>Hr</v>
      </c>
      <c r="J49" s="2" t="str">
        <f>UPPER(Abiodun[[#This Row],[Department]])</f>
        <v>HR</v>
      </c>
      <c r="K49" s="2" t="str">
        <f>LOWER(Abiodun[[#This Row],[Department]])</f>
        <v>hr</v>
      </c>
      <c r="L49" s="2" t="s">
        <v>47</v>
      </c>
      <c r="M49" s="2" t="s">
        <v>27</v>
      </c>
      <c r="N49" s="4">
        <v>326652</v>
      </c>
      <c r="O49" s="2">
        <v>6</v>
      </c>
      <c r="P49" s="5" t="s">
        <v>37</v>
      </c>
    </row>
    <row r="50" spans="1:16">
      <c r="A50" s="1" t="s">
        <v>116</v>
      </c>
      <c r="B50" s="1">
        <f>LEN(Abiodun[[#This Row],[Trimmed Full Name]])</f>
        <v>11</v>
      </c>
      <c r="C50" s="2" t="s">
        <v>17</v>
      </c>
      <c r="D50" s="2" t="str">
        <f>TRIM(Abiodun[[#This Row],[Full Name]])</f>
        <v>Sade Bassey</v>
      </c>
      <c r="E50" s="3" t="s">
        <v>18</v>
      </c>
      <c r="F50" s="3" t="s">
        <v>19</v>
      </c>
      <c r="G50" s="3" t="str">
        <f>_xlfn.CONCAT(Abiodun[[#This Row],[First Name]],".",Abiodun[[#This Row],[Last Name]],"@dame.com")</f>
        <v>Sade.Bassey@dame.com</v>
      </c>
      <c r="H50" s="2" t="s">
        <v>60</v>
      </c>
      <c r="I50" s="2" t="str">
        <f>PROPER(Abiodun[[#This Row],[Department]])</f>
        <v>Hr</v>
      </c>
      <c r="J50" s="2" t="str">
        <f>UPPER(Abiodun[[#This Row],[Department]])</f>
        <v>HR</v>
      </c>
      <c r="K50" s="2" t="str">
        <f>LOWER(Abiodun[[#This Row],[Department]])</f>
        <v>hr</v>
      </c>
      <c r="L50" s="2" t="s">
        <v>70</v>
      </c>
      <c r="M50" s="2" t="s">
        <v>27</v>
      </c>
      <c r="N50" s="4">
        <v>421377</v>
      </c>
      <c r="O50" s="2">
        <v>4</v>
      </c>
      <c r="P50" s="5" t="s">
        <v>23</v>
      </c>
    </row>
    <row r="51" spans="1:16">
      <c r="A51" s="1" t="s">
        <v>117</v>
      </c>
      <c r="B51" s="1">
        <f>LEN(Abiodun[[#This Row],[Trimmed Full Name]])</f>
        <v>10</v>
      </c>
      <c r="C51" s="2" t="s">
        <v>113</v>
      </c>
      <c r="D51" s="2" t="str">
        <f>TRIM(Abiodun[[#This Row],[Full Name]])</f>
        <v>Emeka John</v>
      </c>
      <c r="E51" s="3" t="s">
        <v>114</v>
      </c>
      <c r="F51" s="3" t="s">
        <v>115</v>
      </c>
      <c r="G51" s="3" t="str">
        <f>_xlfn.CONCAT(Abiodun[[#This Row],[First Name]],".",Abiodun[[#This Row],[Last Name]],"@dame.com")</f>
        <v>Emeka.John@dame.com</v>
      </c>
      <c r="H51" s="2" t="s">
        <v>35</v>
      </c>
      <c r="I51" s="2" t="str">
        <f>PROPER(Abiodun[[#This Row],[Department]])</f>
        <v>Finance</v>
      </c>
      <c r="J51" s="2" t="str">
        <f>UPPER(Abiodun[[#This Row],[Department]])</f>
        <v>FINANCE</v>
      </c>
      <c r="K51" s="2" t="str">
        <f>LOWER(Abiodun[[#This Row],[Department]])</f>
        <v>finance</v>
      </c>
      <c r="L51" s="2" t="s">
        <v>26</v>
      </c>
      <c r="M51" s="2" t="s">
        <v>22</v>
      </c>
      <c r="N51" s="4">
        <v>433017</v>
      </c>
      <c r="O51" s="2">
        <v>3</v>
      </c>
      <c r="P51" s="5" t="s">
        <v>28</v>
      </c>
    </row>
    <row r="52" spans="1:16">
      <c r="A52" s="1" t="s">
        <v>118</v>
      </c>
      <c r="B52" s="1">
        <f>LEN(Abiodun[[#This Row],[Trimmed Full Name]])</f>
        <v>9</v>
      </c>
      <c r="C52" s="2" t="s">
        <v>49</v>
      </c>
      <c r="D52" s="2" t="str">
        <f>TRIM(Abiodun[[#This Row],[Full Name]])</f>
        <v>James Obi</v>
      </c>
      <c r="E52" s="3" t="s">
        <v>50</v>
      </c>
      <c r="F52" s="3" t="s">
        <v>51</v>
      </c>
      <c r="G52" s="3" t="str">
        <f>_xlfn.CONCAT(Abiodun[[#This Row],[First Name]],".",Abiodun[[#This Row],[Last Name]],"@dame.com")</f>
        <v>James.Obi@dame.com</v>
      </c>
      <c r="H52" s="2" t="s">
        <v>60</v>
      </c>
      <c r="I52" s="2" t="str">
        <f>PROPER(Abiodun[[#This Row],[Department]])</f>
        <v>Hr</v>
      </c>
      <c r="J52" s="2" t="str">
        <f>UPPER(Abiodun[[#This Row],[Department]])</f>
        <v>HR</v>
      </c>
      <c r="K52" s="2" t="str">
        <f>LOWER(Abiodun[[#This Row],[Department]])</f>
        <v>hr</v>
      </c>
      <c r="L52" s="2" t="s">
        <v>67</v>
      </c>
      <c r="M52" s="2" t="s">
        <v>22</v>
      </c>
      <c r="N52" s="4">
        <v>353050</v>
      </c>
      <c r="O52" s="2">
        <v>7</v>
      </c>
      <c r="P52" s="5" t="s">
        <v>37</v>
      </c>
    </row>
    <row r="53" spans="1:16">
      <c r="A53" s="1" t="s">
        <v>119</v>
      </c>
      <c r="B53" s="1">
        <f>LEN(Abiodun[[#This Row],[Trimmed Full Name]])</f>
        <v>11</v>
      </c>
      <c r="C53" s="2" t="s">
        <v>87</v>
      </c>
      <c r="D53" s="2" t="str">
        <f>TRIM(Abiodun[[#This Row],[Full Name]])</f>
        <v>Ngozi Bello</v>
      </c>
      <c r="E53" s="3" t="s">
        <v>88</v>
      </c>
      <c r="F53" s="3" t="s">
        <v>89</v>
      </c>
      <c r="G53" s="3" t="str">
        <f>_xlfn.CONCAT(Abiodun[[#This Row],[First Name]],".",Abiodun[[#This Row],[Last Name]],"@dame.com")</f>
        <v>Ngozi.Bello@dame.com</v>
      </c>
      <c r="H53" s="2" t="s">
        <v>20</v>
      </c>
      <c r="I53" s="2" t="str">
        <f>PROPER(Abiodun[[#This Row],[Department]])</f>
        <v>It</v>
      </c>
      <c r="J53" s="2" t="str">
        <f>UPPER(Abiodun[[#This Row],[Department]])</f>
        <v>IT</v>
      </c>
      <c r="K53" s="2" t="str">
        <f>LOWER(Abiodun[[#This Row],[Department]])</f>
        <v>it</v>
      </c>
      <c r="L53" s="2" t="s">
        <v>26</v>
      </c>
      <c r="M53" s="2" t="s">
        <v>22</v>
      </c>
      <c r="N53" s="4">
        <v>450941</v>
      </c>
      <c r="O53" s="2">
        <v>3</v>
      </c>
      <c r="P53" s="5" t="s">
        <v>37</v>
      </c>
    </row>
    <row r="54" spans="1:16">
      <c r="A54" s="1" t="s">
        <v>120</v>
      </c>
      <c r="B54" s="1">
        <f>LEN(Abiodun[[#This Row],[Trimmed Full Name]])</f>
        <v>9</v>
      </c>
      <c r="C54" s="2" t="s">
        <v>30</v>
      </c>
      <c r="D54" s="2" t="str">
        <f>TRIM(Abiodun[[#This Row],[Full Name]])</f>
        <v>Faith Udo</v>
      </c>
      <c r="E54" s="3" t="s">
        <v>31</v>
      </c>
      <c r="F54" s="3" t="s">
        <v>32</v>
      </c>
      <c r="G54" s="3" t="str">
        <f>_xlfn.CONCAT(Abiodun[[#This Row],[First Name]],".",Abiodun[[#This Row],[Last Name]],"@dame.com")</f>
        <v>Faith.Udo@dame.com</v>
      </c>
      <c r="H54" s="2" t="s">
        <v>35</v>
      </c>
      <c r="I54" s="2" t="str">
        <f>PROPER(Abiodun[[#This Row],[Department]])</f>
        <v>Finance</v>
      </c>
      <c r="J54" s="2" t="str">
        <f>UPPER(Abiodun[[#This Row],[Department]])</f>
        <v>FINANCE</v>
      </c>
      <c r="K54" s="2" t="str">
        <f>LOWER(Abiodun[[#This Row],[Department]])</f>
        <v>finance</v>
      </c>
      <c r="L54" s="2" t="s">
        <v>67</v>
      </c>
      <c r="M54" s="2" t="s">
        <v>22</v>
      </c>
      <c r="N54" s="4">
        <v>337560</v>
      </c>
      <c r="O54" s="2">
        <v>2</v>
      </c>
      <c r="P54" s="5" t="s">
        <v>28</v>
      </c>
    </row>
    <row r="55" spans="1:16">
      <c r="A55" s="1" t="s">
        <v>121</v>
      </c>
      <c r="B55" s="1">
        <f>LEN(Abiodun[[#This Row],[Trimmed Full Name]])</f>
        <v>11</v>
      </c>
      <c r="C55" s="2" t="s">
        <v>17</v>
      </c>
      <c r="D55" s="2" t="str">
        <f>TRIM(Abiodun[[#This Row],[Full Name]])</f>
        <v>Sade Bassey</v>
      </c>
      <c r="E55" s="3" t="s">
        <v>18</v>
      </c>
      <c r="F55" s="3" t="s">
        <v>19</v>
      </c>
      <c r="G55" s="3" t="str">
        <f>_xlfn.CONCAT(Abiodun[[#This Row],[First Name]],".",Abiodun[[#This Row],[Last Name]],"@dame.com")</f>
        <v>Sade.Bassey@dame.com</v>
      </c>
      <c r="H55" s="2" t="s">
        <v>33</v>
      </c>
      <c r="I55" s="2" t="str">
        <f>PROPER(Abiodun[[#This Row],[Department]])</f>
        <v>Sales</v>
      </c>
      <c r="J55" s="2" t="str">
        <f>UPPER(Abiodun[[#This Row],[Department]])</f>
        <v>SALES</v>
      </c>
      <c r="K55" s="2" t="str">
        <f>LOWER(Abiodun[[#This Row],[Department]])</f>
        <v>sales</v>
      </c>
      <c r="L55" s="2" t="s">
        <v>83</v>
      </c>
      <c r="M55" s="2" t="s">
        <v>27</v>
      </c>
      <c r="N55" s="4">
        <v>325849</v>
      </c>
      <c r="O55" s="2">
        <v>2</v>
      </c>
      <c r="P55" s="5" t="s">
        <v>42</v>
      </c>
    </row>
    <row r="56" spans="1:16">
      <c r="A56" s="1" t="s">
        <v>122</v>
      </c>
      <c r="B56" s="1">
        <f>LEN(Abiodun[[#This Row],[Trimmed Full Name]])</f>
        <v>10</v>
      </c>
      <c r="C56" s="2" t="s">
        <v>113</v>
      </c>
      <c r="D56" s="2" t="str">
        <f>TRIM(Abiodun[[#This Row],[Full Name]])</f>
        <v>Emeka John</v>
      </c>
      <c r="E56" s="3" t="s">
        <v>114</v>
      </c>
      <c r="F56" s="3" t="s">
        <v>115</v>
      </c>
      <c r="G56" s="3" t="str">
        <f>_xlfn.CONCAT(Abiodun[[#This Row],[First Name]],".",Abiodun[[#This Row],[Last Name]],"@dame.com")</f>
        <v>Emeka.John@dame.com</v>
      </c>
      <c r="H56" s="2" t="s">
        <v>25</v>
      </c>
      <c r="I56" s="2" t="str">
        <f>PROPER(Abiodun[[#This Row],[Department]])</f>
        <v>Marketing</v>
      </c>
      <c r="J56" s="2" t="str">
        <f>UPPER(Abiodun[[#This Row],[Department]])</f>
        <v>MARKETING</v>
      </c>
      <c r="K56" s="2" t="str">
        <f>LOWER(Abiodun[[#This Row],[Department]])</f>
        <v>marketing</v>
      </c>
      <c r="L56" s="2" t="s">
        <v>83</v>
      </c>
      <c r="M56" s="2" t="s">
        <v>27</v>
      </c>
      <c r="N56" s="4">
        <v>252488</v>
      </c>
      <c r="O56" s="2">
        <v>5</v>
      </c>
      <c r="P56" s="5" t="s">
        <v>37</v>
      </c>
    </row>
    <row r="57" spans="1:16">
      <c r="A57" s="1" t="s">
        <v>123</v>
      </c>
      <c r="B57" s="1">
        <f>LEN(Abiodun[[#This Row],[Trimmed Full Name]])</f>
        <v>10</v>
      </c>
      <c r="C57" s="2" t="s">
        <v>113</v>
      </c>
      <c r="D57" s="2" t="str">
        <f>TRIM(Abiodun[[#This Row],[Full Name]])</f>
        <v>Emeka John</v>
      </c>
      <c r="E57" s="3" t="s">
        <v>114</v>
      </c>
      <c r="F57" s="3" t="s">
        <v>115</v>
      </c>
      <c r="G57" s="3" t="str">
        <f>_xlfn.CONCAT(Abiodun[[#This Row],[First Name]],".",Abiodun[[#This Row],[Last Name]],"@dame.com")</f>
        <v>Emeka.John@dame.com</v>
      </c>
      <c r="H57" s="2" t="s">
        <v>35</v>
      </c>
      <c r="I57" s="2" t="str">
        <f>PROPER(Abiodun[[#This Row],[Department]])</f>
        <v>Finance</v>
      </c>
      <c r="J57" s="2" t="str">
        <f>UPPER(Abiodun[[#This Row],[Department]])</f>
        <v>FINANCE</v>
      </c>
      <c r="K57" s="2" t="str">
        <f>LOWER(Abiodun[[#This Row],[Department]])</f>
        <v>finance</v>
      </c>
      <c r="L57" s="2" t="s">
        <v>62</v>
      </c>
      <c r="M57" s="2" t="s">
        <v>27</v>
      </c>
      <c r="N57" s="4">
        <v>261616</v>
      </c>
      <c r="O57" s="2">
        <v>2</v>
      </c>
      <c r="P57" s="5" t="s">
        <v>28</v>
      </c>
    </row>
    <row r="58" spans="1:16">
      <c r="A58" s="1" t="s">
        <v>124</v>
      </c>
      <c r="B58" s="1">
        <f>LEN(Abiodun[[#This Row],[Trimmed Full Name]])</f>
        <v>9</v>
      </c>
      <c r="C58" s="2" t="s">
        <v>49</v>
      </c>
      <c r="D58" s="2" t="str">
        <f>TRIM(Abiodun[[#This Row],[Full Name]])</f>
        <v>James Obi</v>
      </c>
      <c r="E58" s="3" t="s">
        <v>50</v>
      </c>
      <c r="F58" s="3" t="s">
        <v>51</v>
      </c>
      <c r="G58" s="3" t="str">
        <f>_xlfn.CONCAT(Abiodun[[#This Row],[First Name]],".",Abiodun[[#This Row],[Last Name]],"@dame.com")</f>
        <v>James.Obi@dame.com</v>
      </c>
      <c r="H58" s="2" t="s">
        <v>25</v>
      </c>
      <c r="I58" s="2" t="str">
        <f>PROPER(Abiodun[[#This Row],[Department]])</f>
        <v>Marketing</v>
      </c>
      <c r="J58" s="2" t="str">
        <f>UPPER(Abiodun[[#This Row],[Department]])</f>
        <v>MARKETING</v>
      </c>
      <c r="K58" s="2" t="str">
        <f>LOWER(Abiodun[[#This Row],[Department]])</f>
        <v>marketing</v>
      </c>
      <c r="L58" s="2" t="s">
        <v>62</v>
      </c>
      <c r="M58" s="2" t="s">
        <v>22</v>
      </c>
      <c r="N58" s="4">
        <v>296968</v>
      </c>
      <c r="O58" s="2">
        <v>4</v>
      </c>
      <c r="P58" s="5" t="s">
        <v>28</v>
      </c>
    </row>
    <row r="59" spans="1:16">
      <c r="A59" s="1" t="s">
        <v>125</v>
      </c>
      <c r="B59" s="1">
        <f>LEN(Abiodun[[#This Row],[Trimmed Full Name]])</f>
        <v>10</v>
      </c>
      <c r="C59" s="2" t="s">
        <v>113</v>
      </c>
      <c r="D59" s="2" t="str">
        <f>TRIM(Abiodun[[#This Row],[Full Name]])</f>
        <v>Emeka John</v>
      </c>
      <c r="E59" s="3" t="s">
        <v>114</v>
      </c>
      <c r="F59" s="3" t="s">
        <v>115</v>
      </c>
      <c r="G59" s="3" t="str">
        <f>_xlfn.CONCAT(Abiodun[[#This Row],[First Name]],".",Abiodun[[#This Row],[Last Name]],"@dame.com")</f>
        <v>Emeka.John@dame.com</v>
      </c>
      <c r="H59" s="2" t="s">
        <v>20</v>
      </c>
      <c r="I59" s="2" t="str">
        <f>PROPER(Abiodun[[#This Row],[Department]])</f>
        <v>It</v>
      </c>
      <c r="J59" s="2" t="str">
        <f>UPPER(Abiodun[[#This Row],[Department]])</f>
        <v>IT</v>
      </c>
      <c r="K59" s="2" t="str">
        <f>LOWER(Abiodun[[#This Row],[Department]])</f>
        <v>it</v>
      </c>
      <c r="L59" s="2" t="s">
        <v>62</v>
      </c>
      <c r="M59" s="2" t="s">
        <v>27</v>
      </c>
      <c r="N59" s="4">
        <v>369656</v>
      </c>
      <c r="O59" s="2">
        <v>8</v>
      </c>
      <c r="P59" s="5" t="s">
        <v>37</v>
      </c>
    </row>
    <row r="60" spans="1:16">
      <c r="A60" s="1" t="s">
        <v>126</v>
      </c>
      <c r="B60" s="1">
        <f>LEN(Abiodun[[#This Row],[Trimmed Full Name]])</f>
        <v>11</v>
      </c>
      <c r="C60" s="2" t="s">
        <v>87</v>
      </c>
      <c r="D60" s="2" t="str">
        <f>TRIM(Abiodun[[#This Row],[Full Name]])</f>
        <v>Ngozi Bello</v>
      </c>
      <c r="E60" s="3" t="s">
        <v>88</v>
      </c>
      <c r="F60" s="3" t="s">
        <v>89</v>
      </c>
      <c r="G60" s="3" t="str">
        <f>_xlfn.CONCAT(Abiodun[[#This Row],[First Name]],".",Abiodun[[#This Row],[Last Name]],"@dame.com")</f>
        <v>Ngozi.Bello@dame.com</v>
      </c>
      <c r="H60" s="2" t="s">
        <v>25</v>
      </c>
      <c r="I60" s="2" t="str">
        <f>PROPER(Abiodun[[#This Row],[Department]])</f>
        <v>Marketing</v>
      </c>
      <c r="J60" s="2" t="str">
        <f>UPPER(Abiodun[[#This Row],[Department]])</f>
        <v>MARKETING</v>
      </c>
      <c r="K60" s="2" t="str">
        <f>LOWER(Abiodun[[#This Row],[Department]])</f>
        <v>marketing</v>
      </c>
      <c r="L60" s="2" t="s">
        <v>47</v>
      </c>
      <c r="M60" s="2" t="s">
        <v>22</v>
      </c>
      <c r="N60" s="4">
        <v>385249</v>
      </c>
      <c r="O60" s="2">
        <v>3</v>
      </c>
      <c r="P60" s="5" t="s">
        <v>28</v>
      </c>
    </row>
    <row r="61" spans="1:16">
      <c r="A61" s="1" t="s">
        <v>127</v>
      </c>
      <c r="B61" s="1">
        <f>LEN(Abiodun[[#This Row],[Trimmed Full Name]])</f>
        <v>9</v>
      </c>
      <c r="C61" s="2" t="s">
        <v>30</v>
      </c>
      <c r="D61" s="2" t="str">
        <f>TRIM(Abiodun[[#This Row],[Full Name]])</f>
        <v>Faith Udo</v>
      </c>
      <c r="E61" s="3" t="s">
        <v>31</v>
      </c>
      <c r="F61" s="3" t="s">
        <v>32</v>
      </c>
      <c r="G61" s="3" t="str">
        <f>_xlfn.CONCAT(Abiodun[[#This Row],[First Name]],".",Abiodun[[#This Row],[Last Name]],"@dame.com")</f>
        <v>Faith.Udo@dame.com</v>
      </c>
      <c r="H61" s="2" t="s">
        <v>20</v>
      </c>
      <c r="I61" s="2" t="str">
        <f>PROPER(Abiodun[[#This Row],[Department]])</f>
        <v>It</v>
      </c>
      <c r="J61" s="2" t="str">
        <f>UPPER(Abiodun[[#This Row],[Department]])</f>
        <v>IT</v>
      </c>
      <c r="K61" s="2" t="str">
        <f>LOWER(Abiodun[[#This Row],[Department]])</f>
        <v>it</v>
      </c>
      <c r="L61" s="2" t="s">
        <v>83</v>
      </c>
      <c r="M61" s="2" t="s">
        <v>22</v>
      </c>
      <c r="N61" s="4">
        <v>485946</v>
      </c>
      <c r="O61" s="2">
        <v>4</v>
      </c>
      <c r="P61" s="5" t="s">
        <v>42</v>
      </c>
    </row>
    <row r="62" spans="1:16">
      <c r="A62" s="1" t="s">
        <v>128</v>
      </c>
      <c r="B62" s="1">
        <f>LEN(Abiodun[[#This Row],[Trimmed Full Name]])</f>
        <v>11</v>
      </c>
      <c r="C62" s="2" t="s">
        <v>87</v>
      </c>
      <c r="D62" s="2" t="str">
        <f>TRIM(Abiodun[[#This Row],[Full Name]])</f>
        <v>Ngozi Bello</v>
      </c>
      <c r="E62" s="3" t="s">
        <v>88</v>
      </c>
      <c r="F62" s="3" t="s">
        <v>89</v>
      </c>
      <c r="G62" s="3" t="str">
        <f>_xlfn.CONCAT(Abiodun[[#This Row],[First Name]],".",Abiodun[[#This Row],[Last Name]],"@dame.com")</f>
        <v>Ngozi.Bello@dame.com</v>
      </c>
      <c r="H62" s="2" t="s">
        <v>35</v>
      </c>
      <c r="I62" s="2" t="str">
        <f>PROPER(Abiodun[[#This Row],[Department]])</f>
        <v>Finance</v>
      </c>
      <c r="J62" s="2" t="str">
        <f>UPPER(Abiodun[[#This Row],[Department]])</f>
        <v>FINANCE</v>
      </c>
      <c r="K62" s="2" t="str">
        <f>LOWER(Abiodun[[#This Row],[Department]])</f>
        <v>finance</v>
      </c>
      <c r="L62" s="2" t="s">
        <v>26</v>
      </c>
      <c r="M62" s="2" t="s">
        <v>27</v>
      </c>
      <c r="N62" s="4">
        <v>481575</v>
      </c>
      <c r="O62" s="2">
        <v>3</v>
      </c>
      <c r="P62" s="5" t="s">
        <v>28</v>
      </c>
    </row>
    <row r="63" spans="1:16">
      <c r="A63" s="1" t="s">
        <v>129</v>
      </c>
      <c r="B63" s="1">
        <f>LEN(Abiodun[[#This Row],[Trimmed Full Name]])</f>
        <v>10</v>
      </c>
      <c r="C63" s="2" t="s">
        <v>64</v>
      </c>
      <c r="D63" s="2" t="str">
        <f>TRIM(Abiodun[[#This Row],[Full Name]])</f>
        <v>Chika Umeh</v>
      </c>
      <c r="E63" s="3" t="s">
        <v>65</v>
      </c>
      <c r="F63" s="3" t="s">
        <v>66</v>
      </c>
      <c r="G63" s="3" t="str">
        <f>_xlfn.CONCAT(Abiodun[[#This Row],[First Name]],".",Abiodun[[#This Row],[Last Name]],"@dame.com")</f>
        <v>Chika.Umeh@dame.com</v>
      </c>
      <c r="H63" s="2" t="s">
        <v>20</v>
      </c>
      <c r="I63" s="2" t="str">
        <f>PROPER(Abiodun[[#This Row],[Department]])</f>
        <v>It</v>
      </c>
      <c r="J63" s="2" t="str">
        <f>UPPER(Abiodun[[#This Row],[Department]])</f>
        <v>IT</v>
      </c>
      <c r="K63" s="2" t="str">
        <f>LOWER(Abiodun[[#This Row],[Department]])</f>
        <v>it</v>
      </c>
      <c r="L63" s="2" t="s">
        <v>26</v>
      </c>
      <c r="M63" s="2" t="s">
        <v>27</v>
      </c>
      <c r="N63" s="4">
        <v>345273</v>
      </c>
      <c r="O63" s="2">
        <v>6</v>
      </c>
      <c r="P63" s="5" t="s">
        <v>28</v>
      </c>
    </row>
    <row r="64" spans="1:16">
      <c r="A64" s="1" t="s">
        <v>130</v>
      </c>
      <c r="B64" s="1">
        <f>LEN(Abiodun[[#This Row],[Trimmed Full Name]])</f>
        <v>12</v>
      </c>
      <c r="C64" s="2" t="s">
        <v>76</v>
      </c>
      <c r="D64" s="2" t="str">
        <f>TRIM(Abiodun[[#This Row],[Full Name]])</f>
        <v>Maria Okafor</v>
      </c>
      <c r="E64" s="3" t="s">
        <v>77</v>
      </c>
      <c r="F64" s="3" t="s">
        <v>78</v>
      </c>
      <c r="G64" s="3" t="str">
        <f>_xlfn.CONCAT(Abiodun[[#This Row],[First Name]],".",Abiodun[[#This Row],[Last Name]],"@dame.com")</f>
        <v>Maria.Okafor@dame.com</v>
      </c>
      <c r="H64" s="2" t="s">
        <v>20</v>
      </c>
      <c r="I64" s="2" t="str">
        <f>PROPER(Abiodun[[#This Row],[Department]])</f>
        <v>It</v>
      </c>
      <c r="J64" s="2" t="str">
        <f>UPPER(Abiodun[[#This Row],[Department]])</f>
        <v>IT</v>
      </c>
      <c r="K64" s="2" t="str">
        <f>LOWER(Abiodun[[#This Row],[Department]])</f>
        <v>it</v>
      </c>
      <c r="L64" s="2" t="s">
        <v>55</v>
      </c>
      <c r="M64" s="2" t="s">
        <v>27</v>
      </c>
      <c r="N64" s="4">
        <v>201172</v>
      </c>
      <c r="O64" s="2">
        <v>8</v>
      </c>
      <c r="P64" s="5" t="s">
        <v>42</v>
      </c>
    </row>
    <row r="65" spans="1:16">
      <c r="A65" s="1" t="s">
        <v>131</v>
      </c>
      <c r="B65" s="1">
        <f>LEN(Abiodun[[#This Row],[Trimmed Full Name]])</f>
        <v>12</v>
      </c>
      <c r="C65" s="2" t="s">
        <v>44</v>
      </c>
      <c r="D65" s="2" t="str">
        <f>TRIM(Abiodun[[#This Row],[Full Name]])</f>
        <v>Tunde Salisu</v>
      </c>
      <c r="E65" s="3" t="s">
        <v>45</v>
      </c>
      <c r="F65" s="3" t="s">
        <v>46</v>
      </c>
      <c r="G65" s="3" t="str">
        <f>_xlfn.CONCAT(Abiodun[[#This Row],[First Name]],".",Abiodun[[#This Row],[Last Name]],"@dame.com")</f>
        <v>Tunde.Salisu@dame.com</v>
      </c>
      <c r="H65" s="2" t="s">
        <v>25</v>
      </c>
      <c r="I65" s="2" t="str">
        <f>PROPER(Abiodun[[#This Row],[Department]])</f>
        <v>Marketing</v>
      </c>
      <c r="J65" s="2" t="str">
        <f>UPPER(Abiodun[[#This Row],[Department]])</f>
        <v>MARKETING</v>
      </c>
      <c r="K65" s="2" t="str">
        <f>LOWER(Abiodun[[#This Row],[Department]])</f>
        <v>marketing</v>
      </c>
      <c r="L65" s="2" t="s">
        <v>36</v>
      </c>
      <c r="M65" s="2" t="s">
        <v>27</v>
      </c>
      <c r="N65" s="4">
        <v>321800</v>
      </c>
      <c r="O65" s="2">
        <v>7</v>
      </c>
      <c r="P65" s="5" t="s">
        <v>23</v>
      </c>
    </row>
    <row r="66" spans="1:16">
      <c r="A66" s="1" t="s">
        <v>132</v>
      </c>
      <c r="B66" s="1">
        <f>LEN(Abiodun[[#This Row],[Trimmed Full Name]])</f>
        <v>12</v>
      </c>
      <c r="C66" s="2" t="s">
        <v>39</v>
      </c>
      <c r="D66" s="2" t="str">
        <f>TRIM(Abiodun[[#This Row],[Full Name]])</f>
        <v>Ibrahim Musa</v>
      </c>
      <c r="E66" s="3" t="s">
        <v>40</v>
      </c>
      <c r="F66" s="3" t="s">
        <v>41</v>
      </c>
      <c r="G66" s="3" t="str">
        <f>_xlfn.CONCAT(Abiodun[[#This Row],[First Name]],".",Abiodun[[#This Row],[Last Name]],"@dame.com")</f>
        <v>Ibrahim.Musa@dame.com</v>
      </c>
      <c r="H66" s="2" t="s">
        <v>33</v>
      </c>
      <c r="I66" s="2" t="str">
        <f>PROPER(Abiodun[[#This Row],[Department]])</f>
        <v>Sales</v>
      </c>
      <c r="J66" s="2" t="str">
        <f>UPPER(Abiodun[[#This Row],[Department]])</f>
        <v>SALES</v>
      </c>
      <c r="K66" s="2" t="str">
        <f>LOWER(Abiodun[[#This Row],[Department]])</f>
        <v>sales</v>
      </c>
      <c r="L66" s="2" t="s">
        <v>80</v>
      </c>
      <c r="M66" s="2" t="s">
        <v>27</v>
      </c>
      <c r="N66" s="4">
        <v>478662</v>
      </c>
      <c r="O66" s="2">
        <v>2</v>
      </c>
      <c r="P66" s="5" t="s">
        <v>42</v>
      </c>
    </row>
    <row r="67" spans="1:16">
      <c r="A67" s="1" t="s">
        <v>133</v>
      </c>
      <c r="B67" s="1">
        <f>LEN(Abiodun[[#This Row],[Trimmed Full Name]])</f>
        <v>9</v>
      </c>
      <c r="C67" s="2" t="s">
        <v>49</v>
      </c>
      <c r="D67" s="2" t="str">
        <f>TRIM(Abiodun[[#This Row],[Full Name]])</f>
        <v>James Obi</v>
      </c>
      <c r="E67" s="3" t="s">
        <v>50</v>
      </c>
      <c r="F67" s="3" t="s">
        <v>51</v>
      </c>
      <c r="G67" s="3" t="str">
        <f>_xlfn.CONCAT(Abiodun[[#This Row],[First Name]],".",Abiodun[[#This Row],[Last Name]],"@dame.com")</f>
        <v>James.Obi@dame.com</v>
      </c>
      <c r="H67" s="2" t="s">
        <v>60</v>
      </c>
      <c r="I67" s="2" t="str">
        <f>PROPER(Abiodun[[#This Row],[Department]])</f>
        <v>Hr</v>
      </c>
      <c r="J67" s="2" t="str">
        <f>UPPER(Abiodun[[#This Row],[Department]])</f>
        <v>HR</v>
      </c>
      <c r="K67" s="2" t="str">
        <f>LOWER(Abiodun[[#This Row],[Department]])</f>
        <v>hr</v>
      </c>
      <c r="L67" s="2" t="s">
        <v>80</v>
      </c>
      <c r="M67" s="2" t="s">
        <v>27</v>
      </c>
      <c r="N67" s="4">
        <v>447144</v>
      </c>
      <c r="O67" s="2">
        <v>10</v>
      </c>
      <c r="P67" s="5" t="s">
        <v>53</v>
      </c>
    </row>
    <row r="68" spans="1:16">
      <c r="A68" s="1" t="s">
        <v>134</v>
      </c>
      <c r="B68" s="1">
        <f>LEN(Abiodun[[#This Row],[Trimmed Full Name]])</f>
        <v>9</v>
      </c>
      <c r="C68" s="2" t="s">
        <v>30</v>
      </c>
      <c r="D68" s="2" t="str">
        <f>TRIM(Abiodun[[#This Row],[Full Name]])</f>
        <v>Faith Udo</v>
      </c>
      <c r="E68" s="3" t="s">
        <v>31</v>
      </c>
      <c r="F68" s="3" t="s">
        <v>32</v>
      </c>
      <c r="G68" s="3" t="str">
        <f>_xlfn.CONCAT(Abiodun[[#This Row],[First Name]],".",Abiodun[[#This Row],[Last Name]],"@dame.com")</f>
        <v>Faith.Udo@dame.com</v>
      </c>
      <c r="H68" s="2" t="s">
        <v>35</v>
      </c>
      <c r="I68" s="2" t="str">
        <f>PROPER(Abiodun[[#This Row],[Department]])</f>
        <v>Finance</v>
      </c>
      <c r="J68" s="2" t="str">
        <f>UPPER(Abiodun[[#This Row],[Department]])</f>
        <v>FINANCE</v>
      </c>
      <c r="K68" s="2" t="str">
        <f>LOWER(Abiodun[[#This Row],[Department]])</f>
        <v>finance</v>
      </c>
      <c r="L68" s="2" t="s">
        <v>67</v>
      </c>
      <c r="M68" s="2" t="s">
        <v>27</v>
      </c>
      <c r="N68" s="4">
        <v>367942</v>
      </c>
      <c r="O68" s="2">
        <v>8</v>
      </c>
      <c r="P68" s="5" t="s">
        <v>23</v>
      </c>
    </row>
    <row r="69" spans="1:16">
      <c r="A69" s="1" t="s">
        <v>135</v>
      </c>
      <c r="B69" s="1">
        <f>LEN(Abiodun[[#This Row],[Trimmed Full Name]])</f>
        <v>11</v>
      </c>
      <c r="C69" s="2" t="s">
        <v>87</v>
      </c>
      <c r="D69" s="2" t="str">
        <f>TRIM(Abiodun[[#This Row],[Full Name]])</f>
        <v>Ngozi Bello</v>
      </c>
      <c r="E69" s="3" t="s">
        <v>88</v>
      </c>
      <c r="F69" s="3" t="s">
        <v>89</v>
      </c>
      <c r="G69" s="3" t="str">
        <f>_xlfn.CONCAT(Abiodun[[#This Row],[First Name]],".",Abiodun[[#This Row],[Last Name]],"@dame.com")</f>
        <v>Ngozi.Bello@dame.com</v>
      </c>
      <c r="H69" s="2" t="s">
        <v>33</v>
      </c>
      <c r="I69" s="2" t="str">
        <f>PROPER(Abiodun[[#This Row],[Department]])</f>
        <v>Sales</v>
      </c>
      <c r="J69" s="2" t="str">
        <f>UPPER(Abiodun[[#This Row],[Department]])</f>
        <v>SALES</v>
      </c>
      <c r="K69" s="2" t="str">
        <f>LOWER(Abiodun[[#This Row],[Department]])</f>
        <v>sales</v>
      </c>
      <c r="L69" s="2" t="s">
        <v>83</v>
      </c>
      <c r="M69" s="2" t="s">
        <v>22</v>
      </c>
      <c r="N69" s="4">
        <v>225459</v>
      </c>
      <c r="O69" s="2">
        <v>2</v>
      </c>
      <c r="P69" s="5" t="s">
        <v>42</v>
      </c>
    </row>
    <row r="70" spans="1:16">
      <c r="A70" s="1" t="s">
        <v>136</v>
      </c>
      <c r="B70" s="1">
        <f>LEN(Abiodun[[#This Row],[Trimmed Full Name]])</f>
        <v>12</v>
      </c>
      <c r="C70" s="2" t="s">
        <v>44</v>
      </c>
      <c r="D70" s="2" t="str">
        <f>TRIM(Abiodun[[#This Row],[Full Name]])</f>
        <v>Tunde Salisu</v>
      </c>
      <c r="E70" s="3" t="s">
        <v>45</v>
      </c>
      <c r="F70" s="3" t="s">
        <v>46</v>
      </c>
      <c r="G70" s="3" t="str">
        <f>_xlfn.CONCAT(Abiodun[[#This Row],[First Name]],".",Abiodun[[#This Row],[Last Name]],"@dame.com")</f>
        <v>Tunde.Salisu@dame.com</v>
      </c>
      <c r="H70" s="2" t="s">
        <v>20</v>
      </c>
      <c r="I70" s="2" t="str">
        <f>PROPER(Abiodun[[#This Row],[Department]])</f>
        <v>It</v>
      </c>
      <c r="J70" s="2" t="str">
        <f>UPPER(Abiodun[[#This Row],[Department]])</f>
        <v>IT</v>
      </c>
      <c r="K70" s="2" t="str">
        <f>LOWER(Abiodun[[#This Row],[Department]])</f>
        <v>it</v>
      </c>
      <c r="L70" s="2" t="s">
        <v>80</v>
      </c>
      <c r="M70" s="2" t="s">
        <v>22</v>
      </c>
      <c r="N70" s="4">
        <v>334185</v>
      </c>
      <c r="O70" s="2">
        <v>2</v>
      </c>
      <c r="P70" s="5" t="s">
        <v>23</v>
      </c>
    </row>
    <row r="71" spans="1:16">
      <c r="A71" s="1" t="s">
        <v>137</v>
      </c>
      <c r="B71" s="1">
        <f>LEN(Abiodun[[#This Row],[Trimmed Full Name]])</f>
        <v>10</v>
      </c>
      <c r="C71" s="2" t="s">
        <v>64</v>
      </c>
      <c r="D71" s="2" t="str">
        <f>TRIM(Abiodun[[#This Row],[Full Name]])</f>
        <v>Chika Umeh</v>
      </c>
      <c r="E71" s="3" t="s">
        <v>65</v>
      </c>
      <c r="F71" s="3" t="s">
        <v>66</v>
      </c>
      <c r="G71" s="3" t="str">
        <f>_xlfn.CONCAT(Abiodun[[#This Row],[First Name]],".",Abiodun[[#This Row],[Last Name]],"@dame.com")</f>
        <v>Chika.Umeh@dame.com</v>
      </c>
      <c r="H71" s="2" t="s">
        <v>20</v>
      </c>
      <c r="I71" s="2" t="str">
        <f>PROPER(Abiodun[[#This Row],[Department]])</f>
        <v>It</v>
      </c>
      <c r="J71" s="2" t="str">
        <f>UPPER(Abiodun[[#This Row],[Department]])</f>
        <v>IT</v>
      </c>
      <c r="K71" s="2" t="str">
        <f>LOWER(Abiodun[[#This Row],[Department]])</f>
        <v>it</v>
      </c>
      <c r="L71" s="2" t="s">
        <v>83</v>
      </c>
      <c r="M71" s="2" t="s">
        <v>27</v>
      </c>
      <c r="N71" s="4">
        <v>329104</v>
      </c>
      <c r="O71" s="2">
        <v>2</v>
      </c>
      <c r="P71" s="5" t="s">
        <v>37</v>
      </c>
    </row>
    <row r="72" spans="1:16">
      <c r="A72" s="1" t="s">
        <v>138</v>
      </c>
      <c r="B72" s="1">
        <f>LEN(Abiodun[[#This Row],[Trimmed Full Name]])</f>
        <v>12</v>
      </c>
      <c r="C72" s="2" t="s">
        <v>39</v>
      </c>
      <c r="D72" s="2" t="str">
        <f>TRIM(Abiodun[[#This Row],[Full Name]])</f>
        <v>Ibrahim Musa</v>
      </c>
      <c r="E72" s="3" t="s">
        <v>40</v>
      </c>
      <c r="F72" s="3" t="s">
        <v>41</v>
      </c>
      <c r="G72" s="3" t="str">
        <f>_xlfn.CONCAT(Abiodun[[#This Row],[First Name]],".",Abiodun[[#This Row],[Last Name]],"@dame.com")</f>
        <v>Ibrahim.Musa@dame.com</v>
      </c>
      <c r="H72" s="2" t="s">
        <v>20</v>
      </c>
      <c r="I72" s="2" t="str">
        <f>PROPER(Abiodun[[#This Row],[Department]])</f>
        <v>It</v>
      </c>
      <c r="J72" s="2" t="str">
        <f>UPPER(Abiodun[[#This Row],[Department]])</f>
        <v>IT</v>
      </c>
      <c r="K72" s="2" t="str">
        <f>LOWER(Abiodun[[#This Row],[Department]])</f>
        <v>it</v>
      </c>
      <c r="L72" s="2" t="s">
        <v>21</v>
      </c>
      <c r="M72" s="2" t="s">
        <v>27</v>
      </c>
      <c r="N72" s="4">
        <v>253559</v>
      </c>
      <c r="O72" s="2">
        <v>4</v>
      </c>
      <c r="P72" s="5" t="s">
        <v>53</v>
      </c>
    </row>
    <row r="73" spans="1:16">
      <c r="A73" s="1" t="s">
        <v>139</v>
      </c>
      <c r="B73" s="1">
        <f>LEN(Abiodun[[#This Row],[Trimmed Full Name]])</f>
        <v>12</v>
      </c>
      <c r="C73" s="2" t="s">
        <v>39</v>
      </c>
      <c r="D73" s="2" t="str">
        <f>TRIM(Abiodun[[#This Row],[Full Name]])</f>
        <v>Ibrahim Musa</v>
      </c>
      <c r="E73" s="3" t="s">
        <v>40</v>
      </c>
      <c r="F73" s="3" t="s">
        <v>41</v>
      </c>
      <c r="G73" s="3" t="str">
        <f>_xlfn.CONCAT(Abiodun[[#This Row],[First Name]],".",Abiodun[[#This Row],[Last Name]],"@dame.com")</f>
        <v>Ibrahim.Musa@dame.com</v>
      </c>
      <c r="H73" s="2" t="s">
        <v>25</v>
      </c>
      <c r="I73" s="2" t="str">
        <f>PROPER(Abiodun[[#This Row],[Department]])</f>
        <v>Marketing</v>
      </c>
      <c r="J73" s="2" t="str">
        <f>UPPER(Abiodun[[#This Row],[Department]])</f>
        <v>MARKETING</v>
      </c>
      <c r="K73" s="2" t="str">
        <f>LOWER(Abiodun[[#This Row],[Department]])</f>
        <v>marketing</v>
      </c>
      <c r="L73" s="2" t="s">
        <v>21</v>
      </c>
      <c r="M73" s="2" t="s">
        <v>22</v>
      </c>
      <c r="N73" s="4">
        <v>203632</v>
      </c>
      <c r="O73" s="2">
        <v>4</v>
      </c>
      <c r="P73" s="5" t="s">
        <v>28</v>
      </c>
    </row>
    <row r="74" spans="1:16">
      <c r="A74" s="1" t="s">
        <v>140</v>
      </c>
      <c r="B74" s="1">
        <f>LEN(Abiodun[[#This Row],[Trimmed Full Name]])</f>
        <v>11</v>
      </c>
      <c r="C74" s="2" t="s">
        <v>17</v>
      </c>
      <c r="D74" s="2" t="str">
        <f>TRIM(Abiodun[[#This Row],[Full Name]])</f>
        <v>Sade Bassey</v>
      </c>
      <c r="E74" s="3" t="s">
        <v>18</v>
      </c>
      <c r="F74" s="3" t="s">
        <v>19</v>
      </c>
      <c r="G74" s="3" t="str">
        <f>_xlfn.CONCAT(Abiodun[[#This Row],[First Name]],".",Abiodun[[#This Row],[Last Name]],"@dame.com")</f>
        <v>Sade.Bassey@dame.com</v>
      </c>
      <c r="H74" s="2" t="s">
        <v>20</v>
      </c>
      <c r="I74" s="2" t="str">
        <f>PROPER(Abiodun[[#This Row],[Department]])</f>
        <v>It</v>
      </c>
      <c r="J74" s="2" t="str">
        <f>UPPER(Abiodun[[#This Row],[Department]])</f>
        <v>IT</v>
      </c>
      <c r="K74" s="2" t="str">
        <f>LOWER(Abiodun[[#This Row],[Department]])</f>
        <v>it</v>
      </c>
      <c r="L74" s="2" t="s">
        <v>62</v>
      </c>
      <c r="M74" s="2" t="s">
        <v>27</v>
      </c>
      <c r="N74" s="4">
        <v>404012</v>
      </c>
      <c r="O74" s="2">
        <v>7</v>
      </c>
      <c r="P74" s="5" t="s">
        <v>42</v>
      </c>
    </row>
    <row r="75" spans="1:16">
      <c r="A75" s="1" t="s">
        <v>141</v>
      </c>
      <c r="B75" s="1">
        <f>LEN(Abiodun[[#This Row],[Trimmed Full Name]])</f>
        <v>12</v>
      </c>
      <c r="C75" s="2" t="s">
        <v>76</v>
      </c>
      <c r="D75" s="2" t="str">
        <f>TRIM(Abiodun[[#This Row],[Full Name]])</f>
        <v>Maria Okafor</v>
      </c>
      <c r="E75" s="3" t="s">
        <v>77</v>
      </c>
      <c r="F75" s="3" t="s">
        <v>78</v>
      </c>
      <c r="G75" s="3" t="str">
        <f>_xlfn.CONCAT(Abiodun[[#This Row],[First Name]],".",Abiodun[[#This Row],[Last Name]],"@dame.com")</f>
        <v>Maria.Okafor@dame.com</v>
      </c>
      <c r="H75" s="2" t="s">
        <v>20</v>
      </c>
      <c r="I75" s="2" t="str">
        <f>PROPER(Abiodun[[#This Row],[Department]])</f>
        <v>It</v>
      </c>
      <c r="J75" s="2" t="str">
        <f>UPPER(Abiodun[[#This Row],[Department]])</f>
        <v>IT</v>
      </c>
      <c r="K75" s="2" t="str">
        <f>LOWER(Abiodun[[#This Row],[Department]])</f>
        <v>it</v>
      </c>
      <c r="L75" s="2" t="s">
        <v>83</v>
      </c>
      <c r="M75" s="2" t="s">
        <v>22</v>
      </c>
      <c r="N75" s="4">
        <v>493395</v>
      </c>
      <c r="O75" s="2">
        <v>4</v>
      </c>
      <c r="P75" s="5" t="s">
        <v>23</v>
      </c>
    </row>
    <row r="76" spans="1:16">
      <c r="A76" s="1" t="s">
        <v>142</v>
      </c>
      <c r="B76" s="1">
        <f>LEN(Abiodun[[#This Row],[Trimmed Full Name]])</f>
        <v>12</v>
      </c>
      <c r="C76" s="2" t="s">
        <v>39</v>
      </c>
      <c r="D76" s="2" t="str">
        <f>TRIM(Abiodun[[#This Row],[Full Name]])</f>
        <v>Ibrahim Musa</v>
      </c>
      <c r="E76" s="3" t="s">
        <v>40</v>
      </c>
      <c r="F76" s="3" t="s">
        <v>41</v>
      </c>
      <c r="G76" s="3" t="str">
        <f>_xlfn.CONCAT(Abiodun[[#This Row],[First Name]],".",Abiodun[[#This Row],[Last Name]],"@dame.com")</f>
        <v>Ibrahim.Musa@dame.com</v>
      </c>
      <c r="H76" s="2" t="s">
        <v>33</v>
      </c>
      <c r="I76" s="2" t="str">
        <f>PROPER(Abiodun[[#This Row],[Department]])</f>
        <v>Sales</v>
      </c>
      <c r="J76" s="2" t="str">
        <f>UPPER(Abiodun[[#This Row],[Department]])</f>
        <v>SALES</v>
      </c>
      <c r="K76" s="2" t="str">
        <f>LOWER(Abiodun[[#This Row],[Department]])</f>
        <v>sales</v>
      </c>
      <c r="L76" s="2" t="s">
        <v>62</v>
      </c>
      <c r="M76" s="2" t="s">
        <v>22</v>
      </c>
      <c r="N76" s="4">
        <v>372679</v>
      </c>
      <c r="O76" s="2">
        <v>2</v>
      </c>
      <c r="P76" s="5" t="s">
        <v>23</v>
      </c>
    </row>
    <row r="77" spans="1:16">
      <c r="A77" s="1" t="s">
        <v>143</v>
      </c>
      <c r="B77" s="1">
        <f>LEN(Abiodun[[#This Row],[Trimmed Full Name]])</f>
        <v>9</v>
      </c>
      <c r="C77" s="2" t="s">
        <v>30</v>
      </c>
      <c r="D77" s="2" t="str">
        <f>TRIM(Abiodun[[#This Row],[Full Name]])</f>
        <v>Faith Udo</v>
      </c>
      <c r="E77" s="3" t="s">
        <v>31</v>
      </c>
      <c r="F77" s="3" t="s">
        <v>32</v>
      </c>
      <c r="G77" s="3" t="str">
        <f>_xlfn.CONCAT(Abiodun[[#This Row],[First Name]],".",Abiodun[[#This Row],[Last Name]],"@dame.com")</f>
        <v>Faith.Udo@dame.com</v>
      </c>
      <c r="H77" s="2" t="s">
        <v>60</v>
      </c>
      <c r="I77" s="2" t="str">
        <f>PROPER(Abiodun[[#This Row],[Department]])</f>
        <v>Hr</v>
      </c>
      <c r="J77" s="2" t="str">
        <f>UPPER(Abiodun[[#This Row],[Department]])</f>
        <v>HR</v>
      </c>
      <c r="K77" s="2" t="str">
        <f>LOWER(Abiodun[[#This Row],[Department]])</f>
        <v>hr</v>
      </c>
      <c r="L77" s="2" t="s">
        <v>26</v>
      </c>
      <c r="M77" s="2" t="s">
        <v>27</v>
      </c>
      <c r="N77" s="4">
        <v>464770</v>
      </c>
      <c r="O77" s="2">
        <v>9</v>
      </c>
      <c r="P77" s="5" t="s">
        <v>23</v>
      </c>
    </row>
    <row r="78" spans="1:16">
      <c r="A78" s="1" t="s">
        <v>144</v>
      </c>
      <c r="B78" s="1">
        <f>LEN(Abiodun[[#This Row],[Trimmed Full Name]])</f>
        <v>12</v>
      </c>
      <c r="C78" s="2" t="s">
        <v>76</v>
      </c>
      <c r="D78" s="2" t="str">
        <f>TRIM(Abiodun[[#This Row],[Full Name]])</f>
        <v>Maria Okafor</v>
      </c>
      <c r="E78" s="3" t="s">
        <v>77</v>
      </c>
      <c r="F78" s="3" t="s">
        <v>78</v>
      </c>
      <c r="G78" s="3" t="str">
        <f>_xlfn.CONCAT(Abiodun[[#This Row],[First Name]],".",Abiodun[[#This Row],[Last Name]],"@dame.com")</f>
        <v>Maria.Okafor@dame.com</v>
      </c>
      <c r="H78" s="2" t="s">
        <v>33</v>
      </c>
      <c r="I78" s="2" t="str">
        <f>PROPER(Abiodun[[#This Row],[Department]])</f>
        <v>Sales</v>
      </c>
      <c r="J78" s="2" t="str">
        <f>UPPER(Abiodun[[#This Row],[Department]])</f>
        <v>SALES</v>
      </c>
      <c r="K78" s="2" t="str">
        <f>LOWER(Abiodun[[#This Row],[Department]])</f>
        <v>sales</v>
      </c>
      <c r="L78" s="2" t="s">
        <v>80</v>
      </c>
      <c r="M78" s="2" t="s">
        <v>27</v>
      </c>
      <c r="N78" s="4">
        <v>360225</v>
      </c>
      <c r="O78" s="2">
        <v>3</v>
      </c>
      <c r="P78" s="5" t="s">
        <v>28</v>
      </c>
    </row>
    <row r="79" spans="1:16">
      <c r="A79" s="1" t="s">
        <v>145</v>
      </c>
      <c r="B79" s="1">
        <f>LEN(Abiodun[[#This Row],[Trimmed Full Name]])</f>
        <v>12</v>
      </c>
      <c r="C79" s="2" t="s">
        <v>39</v>
      </c>
      <c r="D79" s="2" t="str">
        <f>TRIM(Abiodun[[#This Row],[Full Name]])</f>
        <v>Ibrahim Musa</v>
      </c>
      <c r="E79" s="3" t="s">
        <v>40</v>
      </c>
      <c r="F79" s="3" t="s">
        <v>41</v>
      </c>
      <c r="G79" s="3" t="str">
        <f>_xlfn.CONCAT(Abiodun[[#This Row],[First Name]],".",Abiodun[[#This Row],[Last Name]],"@dame.com")</f>
        <v>Ibrahim.Musa@dame.com</v>
      </c>
      <c r="H79" s="2" t="s">
        <v>20</v>
      </c>
      <c r="I79" s="2" t="str">
        <f>PROPER(Abiodun[[#This Row],[Department]])</f>
        <v>It</v>
      </c>
      <c r="J79" s="2" t="str">
        <f>UPPER(Abiodun[[#This Row],[Department]])</f>
        <v>IT</v>
      </c>
      <c r="K79" s="2" t="str">
        <f>LOWER(Abiodun[[#This Row],[Department]])</f>
        <v>it</v>
      </c>
      <c r="L79" s="2" t="s">
        <v>67</v>
      </c>
      <c r="M79" s="2" t="s">
        <v>22</v>
      </c>
      <c r="N79" s="4">
        <v>422249</v>
      </c>
      <c r="O79" s="2">
        <v>10</v>
      </c>
      <c r="P79" s="5" t="s">
        <v>53</v>
      </c>
    </row>
    <row r="80" spans="1:16">
      <c r="A80" s="1" t="s">
        <v>146</v>
      </c>
      <c r="B80" s="1">
        <f>LEN(Abiodun[[#This Row],[Trimmed Full Name]])</f>
        <v>12</v>
      </c>
      <c r="C80" s="2" t="s">
        <v>44</v>
      </c>
      <c r="D80" s="2" t="str">
        <f>TRIM(Abiodun[[#This Row],[Full Name]])</f>
        <v>Tunde Salisu</v>
      </c>
      <c r="E80" s="3" t="s">
        <v>45</v>
      </c>
      <c r="F80" s="3" t="s">
        <v>46</v>
      </c>
      <c r="G80" s="3" t="str">
        <f>_xlfn.CONCAT(Abiodun[[#This Row],[First Name]],".",Abiodun[[#This Row],[Last Name]],"@dame.com")</f>
        <v>Tunde.Salisu@dame.com</v>
      </c>
      <c r="H80" s="2" t="s">
        <v>33</v>
      </c>
      <c r="I80" s="2" t="str">
        <f>PROPER(Abiodun[[#This Row],[Department]])</f>
        <v>Sales</v>
      </c>
      <c r="J80" s="2" t="str">
        <f>UPPER(Abiodun[[#This Row],[Department]])</f>
        <v>SALES</v>
      </c>
      <c r="K80" s="2" t="str">
        <f>LOWER(Abiodun[[#This Row],[Department]])</f>
        <v>sales</v>
      </c>
      <c r="L80" s="2" t="s">
        <v>83</v>
      </c>
      <c r="M80" s="2" t="s">
        <v>27</v>
      </c>
      <c r="N80" s="4">
        <v>343548</v>
      </c>
      <c r="O80" s="2">
        <v>7</v>
      </c>
      <c r="P80" s="5" t="s">
        <v>42</v>
      </c>
    </row>
    <row r="81" spans="1:16">
      <c r="A81" s="1" t="s">
        <v>147</v>
      </c>
      <c r="B81" s="1">
        <f>LEN(Abiodun[[#This Row],[Trimmed Full Name]])</f>
        <v>10</v>
      </c>
      <c r="C81" s="2" t="s">
        <v>64</v>
      </c>
      <c r="D81" s="2" t="str">
        <f>TRIM(Abiodun[[#This Row],[Full Name]])</f>
        <v>Chika Umeh</v>
      </c>
      <c r="E81" s="3" t="s">
        <v>65</v>
      </c>
      <c r="F81" s="3" t="s">
        <v>66</v>
      </c>
      <c r="G81" s="3" t="str">
        <f>_xlfn.CONCAT(Abiodun[[#This Row],[First Name]],".",Abiodun[[#This Row],[Last Name]],"@dame.com")</f>
        <v>Chika.Umeh@dame.com</v>
      </c>
      <c r="H81" s="2" t="s">
        <v>25</v>
      </c>
      <c r="I81" s="2" t="str">
        <f>PROPER(Abiodun[[#This Row],[Department]])</f>
        <v>Marketing</v>
      </c>
      <c r="J81" s="2" t="str">
        <f>UPPER(Abiodun[[#This Row],[Department]])</f>
        <v>MARKETING</v>
      </c>
      <c r="K81" s="2" t="str">
        <f>LOWER(Abiodun[[#This Row],[Department]])</f>
        <v>marketing</v>
      </c>
      <c r="L81" s="2" t="s">
        <v>26</v>
      </c>
      <c r="M81" s="2" t="s">
        <v>22</v>
      </c>
      <c r="N81" s="4">
        <v>429470</v>
      </c>
      <c r="O81" s="2">
        <v>3</v>
      </c>
      <c r="P81" s="5" t="s">
        <v>23</v>
      </c>
    </row>
    <row r="82" spans="1:16">
      <c r="A82" s="1" t="s">
        <v>148</v>
      </c>
      <c r="B82" s="1">
        <f>LEN(Abiodun[[#This Row],[Trimmed Full Name]])</f>
        <v>12</v>
      </c>
      <c r="C82" s="2" t="s">
        <v>76</v>
      </c>
      <c r="D82" s="2" t="str">
        <f>TRIM(Abiodun[[#This Row],[Full Name]])</f>
        <v>Maria Okafor</v>
      </c>
      <c r="E82" s="3" t="s">
        <v>77</v>
      </c>
      <c r="F82" s="3" t="s">
        <v>78</v>
      </c>
      <c r="G82" s="3" t="str">
        <f>_xlfn.CONCAT(Abiodun[[#This Row],[First Name]],".",Abiodun[[#This Row],[Last Name]],"@dame.com")</f>
        <v>Maria.Okafor@dame.com</v>
      </c>
      <c r="H82" s="2" t="s">
        <v>60</v>
      </c>
      <c r="I82" s="2" t="str">
        <f>PROPER(Abiodun[[#This Row],[Department]])</f>
        <v>Hr</v>
      </c>
      <c r="J82" s="2" t="str">
        <f>UPPER(Abiodun[[#This Row],[Department]])</f>
        <v>HR</v>
      </c>
      <c r="K82" s="2" t="str">
        <f>LOWER(Abiodun[[#This Row],[Department]])</f>
        <v>hr</v>
      </c>
      <c r="L82" s="2" t="s">
        <v>47</v>
      </c>
      <c r="M82" s="2" t="s">
        <v>27</v>
      </c>
      <c r="N82" s="4">
        <v>228264</v>
      </c>
      <c r="O82" s="2">
        <v>5</v>
      </c>
      <c r="P82" s="5" t="s">
        <v>42</v>
      </c>
    </row>
    <row r="83" spans="1:16">
      <c r="A83" s="1" t="s">
        <v>149</v>
      </c>
      <c r="B83" s="1">
        <f>LEN(Abiodun[[#This Row],[Trimmed Full Name]])</f>
        <v>9</v>
      </c>
      <c r="C83" s="2" t="s">
        <v>49</v>
      </c>
      <c r="D83" s="2" t="str">
        <f>TRIM(Abiodun[[#This Row],[Full Name]])</f>
        <v>James Obi</v>
      </c>
      <c r="E83" s="3" t="s">
        <v>50</v>
      </c>
      <c r="F83" s="3" t="s">
        <v>51</v>
      </c>
      <c r="G83" s="3" t="str">
        <f>_xlfn.CONCAT(Abiodun[[#This Row],[First Name]],".",Abiodun[[#This Row],[Last Name]],"@dame.com")</f>
        <v>James.Obi@dame.com</v>
      </c>
      <c r="H83" s="2" t="s">
        <v>33</v>
      </c>
      <c r="I83" s="2" t="str">
        <f>PROPER(Abiodun[[#This Row],[Department]])</f>
        <v>Sales</v>
      </c>
      <c r="J83" s="2" t="str">
        <f>UPPER(Abiodun[[#This Row],[Department]])</f>
        <v>SALES</v>
      </c>
      <c r="K83" s="2" t="str">
        <f>LOWER(Abiodun[[#This Row],[Department]])</f>
        <v>sales</v>
      </c>
      <c r="L83" s="2" t="s">
        <v>36</v>
      </c>
      <c r="M83" s="2" t="s">
        <v>22</v>
      </c>
      <c r="N83" s="4">
        <v>481733</v>
      </c>
      <c r="O83" s="2">
        <v>7</v>
      </c>
      <c r="P83" s="5" t="s">
        <v>28</v>
      </c>
    </row>
    <row r="84" spans="1:16">
      <c r="A84" s="1" t="s">
        <v>150</v>
      </c>
      <c r="B84" s="1">
        <f>LEN(Abiodun[[#This Row],[Trimmed Full Name]])</f>
        <v>9</v>
      </c>
      <c r="C84" s="2" t="s">
        <v>49</v>
      </c>
      <c r="D84" s="2" t="str">
        <f>TRIM(Abiodun[[#This Row],[Full Name]])</f>
        <v>James Obi</v>
      </c>
      <c r="E84" s="3" t="s">
        <v>50</v>
      </c>
      <c r="F84" s="3" t="s">
        <v>51</v>
      </c>
      <c r="G84" s="3" t="str">
        <f>_xlfn.CONCAT(Abiodun[[#This Row],[First Name]],".",Abiodun[[#This Row],[Last Name]],"@dame.com")</f>
        <v>James.Obi@dame.com</v>
      </c>
      <c r="H84" s="2" t="s">
        <v>20</v>
      </c>
      <c r="I84" s="2" t="str">
        <f>PROPER(Abiodun[[#This Row],[Department]])</f>
        <v>It</v>
      </c>
      <c r="J84" s="2" t="str">
        <f>UPPER(Abiodun[[#This Row],[Department]])</f>
        <v>IT</v>
      </c>
      <c r="K84" s="2" t="str">
        <f>LOWER(Abiodun[[#This Row],[Department]])</f>
        <v>it</v>
      </c>
      <c r="L84" s="2" t="s">
        <v>21</v>
      </c>
      <c r="M84" s="2" t="s">
        <v>22</v>
      </c>
      <c r="N84" s="4">
        <v>253954</v>
      </c>
      <c r="O84" s="2">
        <v>2</v>
      </c>
      <c r="P84" s="5" t="s">
        <v>28</v>
      </c>
    </row>
    <row r="85" spans="1:16">
      <c r="A85" s="1" t="s">
        <v>151</v>
      </c>
      <c r="B85" s="1">
        <f>LEN(Abiodun[[#This Row],[Trimmed Full Name]])</f>
        <v>9</v>
      </c>
      <c r="C85" s="2" t="s">
        <v>49</v>
      </c>
      <c r="D85" s="2" t="str">
        <f>TRIM(Abiodun[[#This Row],[Full Name]])</f>
        <v>James Obi</v>
      </c>
      <c r="E85" s="3" t="s">
        <v>50</v>
      </c>
      <c r="F85" s="3" t="s">
        <v>51</v>
      </c>
      <c r="G85" s="3" t="str">
        <f>_xlfn.CONCAT(Abiodun[[#This Row],[First Name]],".",Abiodun[[#This Row],[Last Name]],"@dame.com")</f>
        <v>James.Obi@dame.com</v>
      </c>
      <c r="H85" s="2" t="s">
        <v>20</v>
      </c>
      <c r="I85" s="2" t="str">
        <f>PROPER(Abiodun[[#This Row],[Department]])</f>
        <v>It</v>
      </c>
      <c r="J85" s="2" t="str">
        <f>UPPER(Abiodun[[#This Row],[Department]])</f>
        <v>IT</v>
      </c>
      <c r="K85" s="2" t="str">
        <f>LOWER(Abiodun[[#This Row],[Department]])</f>
        <v>it</v>
      </c>
      <c r="L85" s="2" t="s">
        <v>67</v>
      </c>
      <c r="M85" s="2" t="s">
        <v>22</v>
      </c>
      <c r="N85" s="4">
        <v>338029</v>
      </c>
      <c r="O85" s="2">
        <v>6</v>
      </c>
      <c r="P85" s="5" t="s">
        <v>53</v>
      </c>
    </row>
    <row r="86" spans="1:16">
      <c r="A86" s="1" t="s">
        <v>152</v>
      </c>
      <c r="B86" s="1">
        <f>LEN(Abiodun[[#This Row],[Trimmed Full Name]])</f>
        <v>11</v>
      </c>
      <c r="C86" s="2" t="s">
        <v>87</v>
      </c>
      <c r="D86" s="2" t="str">
        <f>TRIM(Abiodun[[#This Row],[Full Name]])</f>
        <v>Ngozi Bello</v>
      </c>
      <c r="E86" s="3" t="s">
        <v>88</v>
      </c>
      <c r="F86" s="3" t="s">
        <v>89</v>
      </c>
      <c r="G86" s="3" t="str">
        <f>_xlfn.CONCAT(Abiodun[[#This Row],[First Name]],".",Abiodun[[#This Row],[Last Name]],"@dame.com")</f>
        <v>Ngozi.Bello@dame.com</v>
      </c>
      <c r="H86" s="2" t="s">
        <v>35</v>
      </c>
      <c r="I86" s="2" t="str">
        <f>PROPER(Abiodun[[#This Row],[Department]])</f>
        <v>Finance</v>
      </c>
      <c r="J86" s="2" t="str">
        <f>UPPER(Abiodun[[#This Row],[Department]])</f>
        <v>FINANCE</v>
      </c>
      <c r="K86" s="2" t="str">
        <f>LOWER(Abiodun[[#This Row],[Department]])</f>
        <v>finance</v>
      </c>
      <c r="L86" s="2" t="s">
        <v>80</v>
      </c>
      <c r="M86" s="2" t="s">
        <v>22</v>
      </c>
      <c r="N86" s="4">
        <v>340723</v>
      </c>
      <c r="O86" s="2">
        <v>7</v>
      </c>
      <c r="P86" s="5" t="s">
        <v>23</v>
      </c>
    </row>
    <row r="87" spans="1:16">
      <c r="A87" s="1" t="s">
        <v>153</v>
      </c>
      <c r="B87" s="1">
        <f>LEN(Abiodun[[#This Row],[Trimmed Full Name]])</f>
        <v>9</v>
      </c>
      <c r="C87" s="2" t="s">
        <v>30</v>
      </c>
      <c r="D87" s="2" t="str">
        <f>TRIM(Abiodun[[#This Row],[Full Name]])</f>
        <v>Faith Udo</v>
      </c>
      <c r="E87" s="3" t="s">
        <v>31</v>
      </c>
      <c r="F87" s="3" t="s">
        <v>32</v>
      </c>
      <c r="G87" s="3" t="str">
        <f>_xlfn.CONCAT(Abiodun[[#This Row],[First Name]],".",Abiodun[[#This Row],[Last Name]],"@dame.com")</f>
        <v>Faith.Udo@dame.com</v>
      </c>
      <c r="H87" s="2" t="s">
        <v>25</v>
      </c>
      <c r="I87" s="2" t="str">
        <f>PROPER(Abiodun[[#This Row],[Department]])</f>
        <v>Marketing</v>
      </c>
      <c r="J87" s="2" t="str">
        <f>UPPER(Abiodun[[#This Row],[Department]])</f>
        <v>MARKETING</v>
      </c>
      <c r="K87" s="2" t="str">
        <f>LOWER(Abiodun[[#This Row],[Department]])</f>
        <v>marketing</v>
      </c>
      <c r="L87" s="2" t="s">
        <v>21</v>
      </c>
      <c r="M87" s="2" t="s">
        <v>22</v>
      </c>
      <c r="N87" s="4">
        <v>216138</v>
      </c>
      <c r="O87" s="2">
        <v>2</v>
      </c>
      <c r="P87" s="5" t="s">
        <v>23</v>
      </c>
    </row>
    <row r="88" spans="1:16">
      <c r="A88" s="1" t="s">
        <v>154</v>
      </c>
      <c r="B88" s="1">
        <f>LEN(Abiodun[[#This Row],[Trimmed Full Name]])</f>
        <v>10</v>
      </c>
      <c r="C88" s="2" t="s">
        <v>64</v>
      </c>
      <c r="D88" s="2" t="str">
        <f>TRIM(Abiodun[[#This Row],[Full Name]])</f>
        <v>Chika Umeh</v>
      </c>
      <c r="E88" s="3" t="s">
        <v>65</v>
      </c>
      <c r="F88" s="3" t="s">
        <v>66</v>
      </c>
      <c r="G88" s="3" t="str">
        <f>_xlfn.CONCAT(Abiodun[[#This Row],[First Name]],".",Abiodun[[#This Row],[Last Name]],"@dame.com")</f>
        <v>Chika.Umeh@dame.com</v>
      </c>
      <c r="H88" s="2" t="s">
        <v>20</v>
      </c>
      <c r="I88" s="2" t="str">
        <f>PROPER(Abiodun[[#This Row],[Department]])</f>
        <v>It</v>
      </c>
      <c r="J88" s="2" t="str">
        <f>UPPER(Abiodun[[#This Row],[Department]])</f>
        <v>IT</v>
      </c>
      <c r="K88" s="2" t="str">
        <f>LOWER(Abiodun[[#This Row],[Department]])</f>
        <v>it</v>
      </c>
      <c r="L88" s="2" t="s">
        <v>62</v>
      </c>
      <c r="M88" s="2" t="s">
        <v>27</v>
      </c>
      <c r="N88" s="4">
        <v>490025</v>
      </c>
      <c r="O88" s="2">
        <v>8</v>
      </c>
      <c r="P88" s="5" t="s">
        <v>28</v>
      </c>
    </row>
    <row r="89" spans="1:16">
      <c r="A89" s="1" t="s">
        <v>155</v>
      </c>
      <c r="B89" s="1">
        <f>LEN(Abiodun[[#This Row],[Trimmed Full Name]])</f>
        <v>10</v>
      </c>
      <c r="C89" s="2" t="s">
        <v>64</v>
      </c>
      <c r="D89" s="2" t="str">
        <f>TRIM(Abiodun[[#This Row],[Full Name]])</f>
        <v>Chika Umeh</v>
      </c>
      <c r="E89" s="3" t="s">
        <v>65</v>
      </c>
      <c r="F89" s="3" t="s">
        <v>66</v>
      </c>
      <c r="G89" s="3" t="str">
        <f>_xlfn.CONCAT(Abiodun[[#This Row],[First Name]],".",Abiodun[[#This Row],[Last Name]],"@dame.com")</f>
        <v>Chika.Umeh@dame.com</v>
      </c>
      <c r="H89" s="2" t="s">
        <v>25</v>
      </c>
      <c r="I89" s="2" t="str">
        <f>PROPER(Abiodun[[#This Row],[Department]])</f>
        <v>Marketing</v>
      </c>
      <c r="J89" s="2" t="str">
        <f>UPPER(Abiodun[[#This Row],[Department]])</f>
        <v>MARKETING</v>
      </c>
      <c r="K89" s="2" t="str">
        <f>LOWER(Abiodun[[#This Row],[Department]])</f>
        <v>marketing</v>
      </c>
      <c r="L89" s="2" t="s">
        <v>55</v>
      </c>
      <c r="M89" s="2" t="s">
        <v>22</v>
      </c>
      <c r="N89" s="4">
        <v>339580</v>
      </c>
      <c r="O89" s="2">
        <v>2</v>
      </c>
      <c r="P89" s="5" t="s">
        <v>37</v>
      </c>
    </row>
    <row r="90" spans="1:16">
      <c r="A90" s="1" t="s">
        <v>156</v>
      </c>
      <c r="B90" s="1">
        <f>LEN(Abiodun[[#This Row],[Trimmed Full Name]])</f>
        <v>12</v>
      </c>
      <c r="C90" s="2" t="s">
        <v>39</v>
      </c>
      <c r="D90" s="2" t="str">
        <f>TRIM(Abiodun[[#This Row],[Full Name]])</f>
        <v>Ibrahim Musa</v>
      </c>
      <c r="E90" s="3" t="s">
        <v>40</v>
      </c>
      <c r="F90" s="3" t="s">
        <v>41</v>
      </c>
      <c r="G90" s="3" t="str">
        <f>_xlfn.CONCAT(Abiodun[[#This Row],[First Name]],".",Abiodun[[#This Row],[Last Name]],"@dame.com")</f>
        <v>Ibrahim.Musa@dame.com</v>
      </c>
      <c r="H90" s="2" t="s">
        <v>60</v>
      </c>
      <c r="I90" s="2" t="str">
        <f>PROPER(Abiodun[[#This Row],[Department]])</f>
        <v>Hr</v>
      </c>
      <c r="J90" s="2" t="str">
        <f>UPPER(Abiodun[[#This Row],[Department]])</f>
        <v>HR</v>
      </c>
      <c r="K90" s="2" t="str">
        <f>LOWER(Abiodun[[#This Row],[Department]])</f>
        <v>hr</v>
      </c>
      <c r="L90" s="2" t="s">
        <v>67</v>
      </c>
      <c r="M90" s="2" t="s">
        <v>27</v>
      </c>
      <c r="N90" s="4">
        <v>325782</v>
      </c>
      <c r="O90" s="2">
        <v>8</v>
      </c>
      <c r="P90" s="5" t="s">
        <v>37</v>
      </c>
    </row>
    <row r="91" spans="1:16">
      <c r="A91" s="1" t="s">
        <v>157</v>
      </c>
      <c r="B91" s="1">
        <f>LEN(Abiodun[[#This Row],[Trimmed Full Name]])</f>
        <v>12</v>
      </c>
      <c r="C91" s="2" t="s">
        <v>44</v>
      </c>
      <c r="D91" s="2" t="str">
        <f>TRIM(Abiodun[[#This Row],[Full Name]])</f>
        <v>Tunde Salisu</v>
      </c>
      <c r="E91" s="3" t="s">
        <v>45</v>
      </c>
      <c r="F91" s="3" t="s">
        <v>46</v>
      </c>
      <c r="G91" s="3" t="str">
        <f>_xlfn.CONCAT(Abiodun[[#This Row],[First Name]],".",Abiodun[[#This Row],[Last Name]],"@dame.com")</f>
        <v>Tunde.Salisu@dame.com</v>
      </c>
      <c r="H91" s="2" t="s">
        <v>20</v>
      </c>
      <c r="I91" s="2" t="str">
        <f>PROPER(Abiodun[[#This Row],[Department]])</f>
        <v>It</v>
      </c>
      <c r="J91" s="2" t="str">
        <f>UPPER(Abiodun[[#This Row],[Department]])</f>
        <v>IT</v>
      </c>
      <c r="K91" s="2" t="str">
        <f>LOWER(Abiodun[[#This Row],[Department]])</f>
        <v>it</v>
      </c>
      <c r="L91" s="2" t="s">
        <v>70</v>
      </c>
      <c r="M91" s="2" t="s">
        <v>22</v>
      </c>
      <c r="N91" s="4">
        <v>397430</v>
      </c>
      <c r="O91" s="2">
        <v>10</v>
      </c>
      <c r="P91" s="5" t="s">
        <v>42</v>
      </c>
    </row>
    <row r="92" spans="1:16">
      <c r="A92" s="1" t="s">
        <v>158</v>
      </c>
      <c r="B92" s="1">
        <f>LEN(Abiodun[[#This Row],[Trimmed Full Name]])</f>
        <v>11</v>
      </c>
      <c r="C92" s="2" t="s">
        <v>87</v>
      </c>
      <c r="D92" s="2" t="str">
        <f>TRIM(Abiodun[[#This Row],[Full Name]])</f>
        <v>Ngozi Bello</v>
      </c>
      <c r="E92" s="3" t="s">
        <v>88</v>
      </c>
      <c r="F92" s="3" t="s">
        <v>89</v>
      </c>
      <c r="G92" s="3" t="str">
        <f>_xlfn.CONCAT(Abiodun[[#This Row],[First Name]],".",Abiodun[[#This Row],[Last Name]],"@dame.com")</f>
        <v>Ngozi.Bello@dame.com</v>
      </c>
      <c r="H92" s="2" t="s">
        <v>35</v>
      </c>
      <c r="I92" s="2" t="str">
        <f>PROPER(Abiodun[[#This Row],[Department]])</f>
        <v>Finance</v>
      </c>
      <c r="J92" s="2" t="str">
        <f>UPPER(Abiodun[[#This Row],[Department]])</f>
        <v>FINANCE</v>
      </c>
      <c r="K92" s="2" t="str">
        <f>LOWER(Abiodun[[#This Row],[Department]])</f>
        <v>finance</v>
      </c>
      <c r="L92" s="2" t="s">
        <v>67</v>
      </c>
      <c r="M92" s="2" t="s">
        <v>22</v>
      </c>
      <c r="N92" s="4">
        <v>300847</v>
      </c>
      <c r="O92" s="2">
        <v>4</v>
      </c>
      <c r="P92" s="5" t="s">
        <v>23</v>
      </c>
    </row>
    <row r="93" spans="1:16">
      <c r="A93" s="1" t="s">
        <v>159</v>
      </c>
      <c r="B93" s="1">
        <f>LEN(Abiodun[[#This Row],[Trimmed Full Name]])</f>
        <v>9</v>
      </c>
      <c r="C93" s="2" t="s">
        <v>49</v>
      </c>
      <c r="D93" s="2" t="str">
        <f>TRIM(Abiodun[[#This Row],[Full Name]])</f>
        <v>James Obi</v>
      </c>
      <c r="E93" s="3" t="s">
        <v>50</v>
      </c>
      <c r="F93" s="3" t="s">
        <v>51</v>
      </c>
      <c r="G93" s="3" t="str">
        <f>_xlfn.CONCAT(Abiodun[[#This Row],[First Name]],".",Abiodun[[#This Row],[Last Name]],"@dame.com")</f>
        <v>James.Obi@dame.com</v>
      </c>
      <c r="H93" s="2" t="s">
        <v>20</v>
      </c>
      <c r="I93" s="2" t="str">
        <f>PROPER(Abiodun[[#This Row],[Department]])</f>
        <v>It</v>
      </c>
      <c r="J93" s="2" t="str">
        <f>UPPER(Abiodun[[#This Row],[Department]])</f>
        <v>IT</v>
      </c>
      <c r="K93" s="2" t="str">
        <f>LOWER(Abiodun[[#This Row],[Department]])</f>
        <v>it</v>
      </c>
      <c r="L93" s="2" t="s">
        <v>26</v>
      </c>
      <c r="M93" s="2" t="s">
        <v>22</v>
      </c>
      <c r="N93" s="4">
        <v>265948</v>
      </c>
      <c r="O93" s="2">
        <v>6</v>
      </c>
      <c r="P93" s="5" t="s">
        <v>28</v>
      </c>
    </row>
    <row r="94" spans="1:16">
      <c r="A94" s="1" t="s">
        <v>160</v>
      </c>
      <c r="B94" s="1">
        <f>LEN(Abiodun[[#This Row],[Trimmed Full Name]])</f>
        <v>12</v>
      </c>
      <c r="C94" s="2" t="s">
        <v>44</v>
      </c>
      <c r="D94" s="2" t="str">
        <f>TRIM(Abiodun[[#This Row],[Full Name]])</f>
        <v>Tunde Salisu</v>
      </c>
      <c r="E94" s="3" t="s">
        <v>45</v>
      </c>
      <c r="F94" s="3" t="s">
        <v>46</v>
      </c>
      <c r="G94" s="3" t="str">
        <f>_xlfn.CONCAT(Abiodun[[#This Row],[First Name]],".",Abiodun[[#This Row],[Last Name]],"@dame.com")</f>
        <v>Tunde.Salisu@dame.com</v>
      </c>
      <c r="H94" s="2" t="s">
        <v>60</v>
      </c>
      <c r="I94" s="2" t="str">
        <f>PROPER(Abiodun[[#This Row],[Department]])</f>
        <v>Hr</v>
      </c>
      <c r="J94" s="2" t="str">
        <f>UPPER(Abiodun[[#This Row],[Department]])</f>
        <v>HR</v>
      </c>
      <c r="K94" s="2" t="str">
        <f>LOWER(Abiodun[[#This Row],[Department]])</f>
        <v>hr</v>
      </c>
      <c r="L94" s="2" t="s">
        <v>55</v>
      </c>
      <c r="M94" s="2" t="s">
        <v>27</v>
      </c>
      <c r="N94" s="4">
        <v>341060</v>
      </c>
      <c r="O94" s="2">
        <v>7</v>
      </c>
      <c r="P94" s="5" t="s">
        <v>53</v>
      </c>
    </row>
    <row r="95" spans="1:16">
      <c r="A95" s="1" t="s">
        <v>161</v>
      </c>
      <c r="B95" s="1">
        <f>LEN(Abiodun[[#This Row],[Trimmed Full Name]])</f>
        <v>11</v>
      </c>
      <c r="C95" s="2" t="s">
        <v>87</v>
      </c>
      <c r="D95" s="2" t="str">
        <f>TRIM(Abiodun[[#This Row],[Full Name]])</f>
        <v>Ngozi Bello</v>
      </c>
      <c r="E95" s="3" t="s">
        <v>88</v>
      </c>
      <c r="F95" s="3" t="s">
        <v>89</v>
      </c>
      <c r="G95" s="3" t="str">
        <f>_xlfn.CONCAT(Abiodun[[#This Row],[First Name]],".",Abiodun[[#This Row],[Last Name]],"@dame.com")</f>
        <v>Ngozi.Bello@dame.com</v>
      </c>
      <c r="H95" s="2" t="s">
        <v>25</v>
      </c>
      <c r="I95" s="2" t="str">
        <f>PROPER(Abiodun[[#This Row],[Department]])</f>
        <v>Marketing</v>
      </c>
      <c r="J95" s="2" t="str">
        <f>UPPER(Abiodun[[#This Row],[Department]])</f>
        <v>MARKETING</v>
      </c>
      <c r="K95" s="2" t="str">
        <f>LOWER(Abiodun[[#This Row],[Department]])</f>
        <v>marketing</v>
      </c>
      <c r="L95" s="2" t="s">
        <v>36</v>
      </c>
      <c r="M95" s="2" t="s">
        <v>27</v>
      </c>
      <c r="N95" s="4">
        <v>326977</v>
      </c>
      <c r="O95" s="2">
        <v>4</v>
      </c>
      <c r="P95" s="5" t="s">
        <v>28</v>
      </c>
    </row>
    <row r="96" spans="1:16">
      <c r="A96" s="1" t="s">
        <v>162</v>
      </c>
      <c r="B96" s="1">
        <f>LEN(Abiodun[[#This Row],[Trimmed Full Name]])</f>
        <v>12</v>
      </c>
      <c r="C96" s="2" t="s">
        <v>44</v>
      </c>
      <c r="D96" s="2" t="str">
        <f>TRIM(Abiodun[[#This Row],[Full Name]])</f>
        <v>Tunde Salisu</v>
      </c>
      <c r="E96" s="3" t="s">
        <v>45</v>
      </c>
      <c r="F96" s="3" t="s">
        <v>46</v>
      </c>
      <c r="G96" s="3" t="str">
        <f>_xlfn.CONCAT(Abiodun[[#This Row],[First Name]],".",Abiodun[[#This Row],[Last Name]],"@dame.com")</f>
        <v>Tunde.Salisu@dame.com</v>
      </c>
      <c r="H96" s="2" t="s">
        <v>20</v>
      </c>
      <c r="I96" s="2" t="str">
        <f>PROPER(Abiodun[[#This Row],[Department]])</f>
        <v>It</v>
      </c>
      <c r="J96" s="2" t="str">
        <f>UPPER(Abiodun[[#This Row],[Department]])</f>
        <v>IT</v>
      </c>
      <c r="K96" s="2" t="str">
        <f>LOWER(Abiodun[[#This Row],[Department]])</f>
        <v>it</v>
      </c>
      <c r="L96" s="2" t="s">
        <v>21</v>
      </c>
      <c r="M96" s="2" t="s">
        <v>22</v>
      </c>
      <c r="N96" s="4">
        <v>433031</v>
      </c>
      <c r="O96" s="2">
        <v>1</v>
      </c>
      <c r="P96" s="5" t="s">
        <v>28</v>
      </c>
    </row>
    <row r="97" spans="1:16">
      <c r="A97" s="1" t="s">
        <v>163</v>
      </c>
      <c r="B97" s="1">
        <f>LEN(Abiodun[[#This Row],[Trimmed Full Name]])</f>
        <v>12</v>
      </c>
      <c r="C97" s="2" t="s">
        <v>39</v>
      </c>
      <c r="D97" s="2" t="str">
        <f>TRIM(Abiodun[[#This Row],[Full Name]])</f>
        <v>Ibrahim Musa</v>
      </c>
      <c r="E97" s="3" t="s">
        <v>40</v>
      </c>
      <c r="F97" s="3" t="s">
        <v>41</v>
      </c>
      <c r="G97" s="3" t="str">
        <f>_xlfn.CONCAT(Abiodun[[#This Row],[First Name]],".",Abiodun[[#This Row],[Last Name]],"@dame.com")</f>
        <v>Ibrahim.Musa@dame.com</v>
      </c>
      <c r="H97" s="2" t="s">
        <v>25</v>
      </c>
      <c r="I97" s="2" t="str">
        <f>PROPER(Abiodun[[#This Row],[Department]])</f>
        <v>Marketing</v>
      </c>
      <c r="J97" s="2" t="str">
        <f>UPPER(Abiodun[[#This Row],[Department]])</f>
        <v>MARKETING</v>
      </c>
      <c r="K97" s="2" t="str">
        <f>LOWER(Abiodun[[#This Row],[Department]])</f>
        <v>marketing</v>
      </c>
      <c r="L97" s="2" t="s">
        <v>47</v>
      </c>
      <c r="M97" s="2" t="s">
        <v>22</v>
      </c>
      <c r="N97" s="4">
        <v>421034</v>
      </c>
      <c r="O97" s="2">
        <v>3</v>
      </c>
      <c r="P97" s="5" t="s">
        <v>37</v>
      </c>
    </row>
    <row r="98" spans="1:16">
      <c r="A98" s="1" t="s">
        <v>164</v>
      </c>
      <c r="B98" s="1">
        <f>LEN(Abiodun[[#This Row],[Trimmed Full Name]])</f>
        <v>9</v>
      </c>
      <c r="C98" s="2" t="s">
        <v>30</v>
      </c>
      <c r="D98" s="2" t="str">
        <f>TRIM(Abiodun[[#This Row],[Full Name]])</f>
        <v>Faith Udo</v>
      </c>
      <c r="E98" s="3" t="s">
        <v>31</v>
      </c>
      <c r="F98" s="3" t="s">
        <v>32</v>
      </c>
      <c r="G98" s="3" t="str">
        <f>_xlfn.CONCAT(Abiodun[[#This Row],[First Name]],".",Abiodun[[#This Row],[Last Name]],"@dame.com")</f>
        <v>Faith.Udo@dame.com</v>
      </c>
      <c r="H98" s="2" t="s">
        <v>60</v>
      </c>
      <c r="I98" s="2" t="str">
        <f>PROPER(Abiodun[[#This Row],[Department]])</f>
        <v>Hr</v>
      </c>
      <c r="J98" s="2" t="str">
        <f>UPPER(Abiodun[[#This Row],[Department]])</f>
        <v>HR</v>
      </c>
      <c r="K98" s="2" t="str">
        <f>LOWER(Abiodun[[#This Row],[Department]])</f>
        <v>hr</v>
      </c>
      <c r="L98" s="2" t="s">
        <v>26</v>
      </c>
      <c r="M98" s="2" t="s">
        <v>22</v>
      </c>
      <c r="N98" s="4">
        <v>363199</v>
      </c>
      <c r="O98" s="2">
        <v>4</v>
      </c>
      <c r="P98" s="5" t="s">
        <v>42</v>
      </c>
    </row>
    <row r="99" spans="1:16">
      <c r="A99" s="1" t="s">
        <v>165</v>
      </c>
      <c r="B99" s="1">
        <f>LEN(Abiodun[[#This Row],[Trimmed Full Name]])</f>
        <v>12</v>
      </c>
      <c r="C99" s="2" t="s">
        <v>44</v>
      </c>
      <c r="D99" s="2" t="str">
        <f>TRIM(Abiodun[[#This Row],[Full Name]])</f>
        <v>Tunde Salisu</v>
      </c>
      <c r="E99" s="3" t="s">
        <v>45</v>
      </c>
      <c r="F99" s="3" t="s">
        <v>46</v>
      </c>
      <c r="G99" s="3" t="str">
        <f>_xlfn.CONCAT(Abiodun[[#This Row],[First Name]],".",Abiodun[[#This Row],[Last Name]],"@dame.com")</f>
        <v>Tunde.Salisu@dame.com</v>
      </c>
      <c r="H99" s="2" t="s">
        <v>25</v>
      </c>
      <c r="I99" s="2" t="str">
        <f>PROPER(Abiodun[[#This Row],[Department]])</f>
        <v>Marketing</v>
      </c>
      <c r="J99" s="2" t="str">
        <f>UPPER(Abiodun[[#This Row],[Department]])</f>
        <v>MARKETING</v>
      </c>
      <c r="K99" s="2" t="str">
        <f>LOWER(Abiodun[[#This Row],[Department]])</f>
        <v>marketing</v>
      </c>
      <c r="L99" s="2" t="s">
        <v>67</v>
      </c>
      <c r="M99" s="2" t="s">
        <v>22</v>
      </c>
      <c r="N99" s="4">
        <v>399940</v>
      </c>
      <c r="O99" s="2">
        <v>7</v>
      </c>
      <c r="P99" s="5" t="s">
        <v>23</v>
      </c>
    </row>
    <row r="100" spans="1:16">
      <c r="A100" s="1" t="s">
        <v>166</v>
      </c>
      <c r="B100" s="1">
        <f>LEN(Abiodun[[#This Row],[Trimmed Full Name]])</f>
        <v>9</v>
      </c>
      <c r="C100" s="2" t="s">
        <v>49</v>
      </c>
      <c r="D100" s="2" t="str">
        <f>TRIM(Abiodun[[#This Row],[Full Name]])</f>
        <v>James Obi</v>
      </c>
      <c r="E100" s="3" t="s">
        <v>50</v>
      </c>
      <c r="F100" s="3" t="s">
        <v>51</v>
      </c>
      <c r="G100" s="3" t="str">
        <f>_xlfn.CONCAT(Abiodun[[#This Row],[First Name]],".",Abiodun[[#This Row],[Last Name]],"@dame.com")</f>
        <v>James.Obi@dame.com</v>
      </c>
      <c r="H100" s="2" t="s">
        <v>20</v>
      </c>
      <c r="I100" s="2" t="str">
        <f>PROPER(Abiodun[[#This Row],[Department]])</f>
        <v>It</v>
      </c>
      <c r="J100" s="2" t="str">
        <f>UPPER(Abiodun[[#This Row],[Department]])</f>
        <v>IT</v>
      </c>
      <c r="K100" s="2" t="str">
        <f>LOWER(Abiodun[[#This Row],[Department]])</f>
        <v>it</v>
      </c>
      <c r="L100" s="2" t="s">
        <v>80</v>
      </c>
      <c r="M100" s="2" t="s">
        <v>22</v>
      </c>
      <c r="N100" s="4">
        <v>231891</v>
      </c>
      <c r="O100" s="2">
        <v>4</v>
      </c>
      <c r="P100" s="5" t="s">
        <v>42</v>
      </c>
    </row>
    <row r="101" spans="1:16">
      <c r="A101" s="6" t="s">
        <v>167</v>
      </c>
      <c r="B101" s="6">
        <f>LEN(Abiodun[[#This Row],[Trimmed Full Name]])</f>
        <v>9</v>
      </c>
      <c r="C101" s="7" t="s">
        <v>30</v>
      </c>
      <c r="D101" s="7" t="str">
        <f>TRIM(Abiodun[[#This Row],[Full Name]])</f>
        <v>Faith Udo</v>
      </c>
      <c r="E101" s="8" t="s">
        <v>31</v>
      </c>
      <c r="F101" s="8" t="s">
        <v>32</v>
      </c>
      <c r="G101" s="3" t="str">
        <f>_xlfn.CONCAT(Abiodun[[#This Row],[First Name]],".",Abiodun[[#This Row],[Last Name]],"@dame.com")</f>
        <v>Faith.Udo@dame.com</v>
      </c>
      <c r="H101" s="7" t="s">
        <v>33</v>
      </c>
      <c r="I101" s="7" t="str">
        <f>PROPER(Abiodun[[#This Row],[Department]])</f>
        <v>Sales</v>
      </c>
      <c r="J101" s="7" t="str">
        <f>UPPER(Abiodun[[#This Row],[Department]])</f>
        <v>SALES</v>
      </c>
      <c r="K101" s="7" t="str">
        <f>LOWER(Abiodun[[#This Row],[Department]])</f>
        <v>sales</v>
      </c>
      <c r="L101" s="7" t="s">
        <v>83</v>
      </c>
      <c r="M101" s="7" t="s">
        <v>22</v>
      </c>
      <c r="N101" s="9">
        <v>203199</v>
      </c>
      <c r="O101" s="7">
        <v>8</v>
      </c>
      <c r="P101" s="10" t="s">
        <v>53</v>
      </c>
    </row>
    <row r="102" spans="1:16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2"/>
      <c r="N102" s="13"/>
      <c r="O102" s="11"/>
      <c r="P102" s="11"/>
    </row>
    <row r="103" spans="1:16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2"/>
      <c r="N103" s="13"/>
      <c r="O103" s="11"/>
      <c r="P103" s="11"/>
    </row>
    <row r="104" spans="1:16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2"/>
      <c r="N104" s="13"/>
      <c r="O104" s="11"/>
      <c r="P104" s="11"/>
    </row>
    <row r="105" spans="1:16" ht="15" thickBo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2"/>
      <c r="N105" s="13"/>
      <c r="O105" s="11"/>
      <c r="P105" s="11"/>
    </row>
    <row r="106" spans="1:16" ht="29">
      <c r="A106" s="20" t="s">
        <v>168</v>
      </c>
      <c r="B106" s="21">
        <f>SUM(Abiodun[Salary])</f>
        <v>34862380</v>
      </c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2"/>
      <c r="N106" s="13"/>
      <c r="O106" s="11"/>
      <c r="P106" s="11"/>
    </row>
    <row r="107" spans="1:16">
      <c r="A107" s="22"/>
      <c r="B107" s="23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2"/>
      <c r="N107" s="13"/>
      <c r="O107" s="11"/>
      <c r="P107" s="11"/>
    </row>
    <row r="108" spans="1:16">
      <c r="A108" s="22" t="s">
        <v>169</v>
      </c>
      <c r="B108" s="24">
        <f>AVERAGE(Abiodun[Salary])</f>
        <v>348623.8</v>
      </c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2"/>
      <c r="N108" s="13"/>
      <c r="O108" s="11"/>
      <c r="P108" s="11"/>
    </row>
    <row r="109" spans="1:16">
      <c r="A109" s="22"/>
      <c r="B109" s="23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2"/>
      <c r="N109" s="13"/>
      <c r="O109" s="11"/>
      <c r="P109" s="11"/>
    </row>
    <row r="110" spans="1:16" ht="72.5">
      <c r="A110" s="25" t="s">
        <v>170</v>
      </c>
      <c r="B110" s="23">
        <f>COUNTA(Abiodun[Employee ID])</f>
        <v>100</v>
      </c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2"/>
      <c r="N110" s="13"/>
      <c r="O110" s="11"/>
      <c r="P110" s="11"/>
    </row>
    <row r="111" spans="1:16">
      <c r="A111" s="22"/>
      <c r="B111" s="23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2"/>
      <c r="N111" s="13"/>
      <c r="O111" s="11"/>
      <c r="P111" s="11"/>
    </row>
    <row r="112" spans="1:16" ht="87">
      <c r="A112" s="26" t="s">
        <v>171</v>
      </c>
      <c r="B112" s="24">
        <f>SUMIF(Abiodun[Department],"Sales",Abiodun[Salary])</f>
        <v>6081869</v>
      </c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2"/>
      <c r="N112" s="13"/>
      <c r="O112" s="11"/>
      <c r="P112" s="11"/>
    </row>
    <row r="113" spans="1:16">
      <c r="A113" s="26"/>
      <c r="B113" s="23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2"/>
      <c r="N113" s="13"/>
      <c r="O113" s="11"/>
      <c r="P113" s="11"/>
    </row>
    <row r="114" spans="1:16" ht="72.5">
      <c r="A114" s="26" t="s">
        <v>172</v>
      </c>
      <c r="B114" s="24">
        <f>AVERAGEIF(Abiodun[Department],"HR",Abiodun[Salary])</f>
        <v>353549.25</v>
      </c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2"/>
      <c r="N114" s="13"/>
      <c r="O114" s="11"/>
      <c r="P114" s="11"/>
    </row>
    <row r="115" spans="1:16">
      <c r="A115" s="26"/>
      <c r="B115" s="23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2"/>
      <c r="N115" s="13"/>
      <c r="O115" s="11"/>
      <c r="P115" s="11"/>
    </row>
    <row r="116" spans="1:16" ht="145">
      <c r="A116" s="26" t="s">
        <v>173</v>
      </c>
      <c r="B116" s="24">
        <f>SUMIFS(Abiodun[Salary],Abiodun[City],"Lagos",Abiodun[Experience (Years)],"&gt;3")</f>
        <v>5470326</v>
      </c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2"/>
      <c r="N116" s="13"/>
      <c r="O116" s="11"/>
      <c r="P116" s="11"/>
    </row>
    <row r="117" spans="1:16">
      <c r="A117" s="26"/>
      <c r="B117" s="23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2"/>
      <c r="N117" s="13"/>
      <c r="O117" s="11"/>
      <c r="P117" s="11"/>
    </row>
    <row r="118" spans="1:16" ht="87">
      <c r="A118" s="26" t="s">
        <v>174</v>
      </c>
      <c r="B118" s="24">
        <f>AVERAGEIFS(Abiodun[Salary],Abiodun[Gender],"Female",Abiodun[City],"Lagos")</f>
        <v>315870.8</v>
      </c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2"/>
      <c r="N118" s="13"/>
      <c r="O118" s="11"/>
      <c r="P118" s="11"/>
    </row>
    <row r="119" spans="1:16">
      <c r="A119" s="26"/>
      <c r="B119" s="23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2"/>
      <c r="N119" s="13"/>
      <c r="O119" s="11"/>
      <c r="P119" s="11"/>
    </row>
    <row r="120" spans="1:16" ht="101.5">
      <c r="A120" s="26" t="s">
        <v>175</v>
      </c>
      <c r="B120" s="23">
        <f>COUNTIFS(Abiodun[Gender],"Male",Abiodun[City],"Lagos")</f>
        <v>15</v>
      </c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2"/>
      <c r="N120" s="13"/>
      <c r="O120" s="11"/>
      <c r="P120" s="11"/>
    </row>
    <row r="121" spans="1:16">
      <c r="A121" s="26"/>
      <c r="B121" s="23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2"/>
      <c r="N121" s="13"/>
      <c r="O121" s="11"/>
      <c r="P121" s="11"/>
    </row>
    <row r="122" spans="1:16" ht="116.5" thickBot="1">
      <c r="A122" s="27" t="s">
        <v>176</v>
      </c>
      <c r="B122" s="28">
        <f>_xlfn.MAXIFS(Abiodun[Salary],Abiodun[Department],"IT")</f>
        <v>493395</v>
      </c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2"/>
      <c r="N122" s="13"/>
      <c r="O122" s="11"/>
      <c r="P122" s="1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Abiodun Ogunranti</dc:creator>
  <cp:lastModifiedBy>Abiodun Ogunranti</cp:lastModifiedBy>
  <dcterms:created xsi:type="dcterms:W3CDTF">2026-07-16T14:12:47Z</dcterms:created>
  <dcterms:modified xsi:type="dcterms:W3CDTF">2026-07-16T14:16:28Z</dcterms:modified>
</cp:coreProperties>
</file>